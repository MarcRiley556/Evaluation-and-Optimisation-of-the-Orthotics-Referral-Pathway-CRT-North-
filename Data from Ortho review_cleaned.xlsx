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1157777d7e9bb2f/Desktop/Porfolio/Orthopaedic project/"/>
    </mc:Choice>
  </mc:AlternateContent>
  <xr:revisionPtr revIDLastSave="1517" documentId="8_{0392FC1F-670C-4D55-B1B1-14E086C10174}" xr6:coauthVersionLast="47" xr6:coauthVersionMax="47" xr10:uidLastSave="{5E728558-7E78-40A1-9A91-71CF74FC17B3}"/>
  <bookViews>
    <workbookView xWindow="-28920" yWindow="-120" windowWidth="29040" windowHeight="15720" activeTab="3" xr2:uid="{EA58D725-6F06-4F17-B74B-87A9B875D050}"/>
  </bookViews>
  <sheets>
    <sheet name="nhs number-patient-initials-202" sheetId="1" r:id="rId1"/>
    <sheet name="Refererence Table" sheetId="2" r:id="rId2"/>
    <sheet name="Pivot Tables" sheetId="4" r:id="rId3"/>
    <sheet name="Dashboard 2024" sheetId="5" r:id="rId4"/>
  </sheets>
  <definedNames>
    <definedName name="Slicer_Class">#N/A</definedName>
    <definedName name="Slicer_Reason_for_referral">#N/A</definedName>
    <definedName name="Slicer_Referring_Therapist">#N/A</definedName>
  </definedNames>
  <calcPr calcId="191029"/>
  <pivotCaches>
    <pivotCache cacheId="7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A25" i="2" a="1"/>
  <c r="A2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<sst xmlns="http://schemas.openxmlformats.org/spreadsheetml/2006/main" count="260" uniqueCount="120">
  <si>
    <t>NHS Number</t>
  </si>
  <si>
    <t>Patient Initials</t>
  </si>
  <si>
    <t>Class</t>
  </si>
  <si>
    <t>Class Code</t>
  </si>
  <si>
    <t>Referring Therapist</t>
  </si>
  <si>
    <t>SI</t>
  </si>
  <si>
    <t>Review of AFO</t>
  </si>
  <si>
    <t>Marc Riley</t>
  </si>
  <si>
    <t>Provided AFO</t>
  </si>
  <si>
    <t>JP</t>
  </si>
  <si>
    <t>Shoe raise</t>
  </si>
  <si>
    <t>LLD</t>
  </si>
  <si>
    <t>Marc Rily</t>
  </si>
  <si>
    <t>Cancelled – no contact</t>
  </si>
  <si>
    <t>NB</t>
  </si>
  <si>
    <t>Varus deformity</t>
  </si>
  <si>
    <t>Rachel Wilkonson</t>
  </si>
  <si>
    <t>Provided brace</t>
  </si>
  <si>
    <t>TK</t>
  </si>
  <si>
    <t>Shoe Raise</t>
  </si>
  <si>
    <t>Did not bring shoe</t>
  </si>
  <si>
    <t>JG</t>
  </si>
  <si>
    <t>Varus knee</t>
  </si>
  <si>
    <t>AR</t>
  </si>
  <si>
    <t>Footwear</t>
  </si>
  <si>
    <t>Cancelled – surgery</t>
  </si>
  <si>
    <t>MW</t>
  </si>
  <si>
    <t>Foot orthotic</t>
  </si>
  <si>
    <t>DNA</t>
  </si>
  <si>
    <t>Orthotic - Arm</t>
  </si>
  <si>
    <t>Collar &amp; cuff</t>
  </si>
  <si>
    <t>Provided collar</t>
  </si>
  <si>
    <t>LM</t>
  </si>
  <si>
    <t>Steph Mile</t>
  </si>
  <si>
    <t>Provided raise</t>
  </si>
  <si>
    <t>GH</t>
  </si>
  <si>
    <t>AFO review</t>
  </si>
  <si>
    <t>AB</t>
  </si>
  <si>
    <t>Wrist pain</t>
  </si>
  <si>
    <t>R Wilkinson</t>
  </si>
  <si>
    <t>Wrong referral class</t>
  </si>
  <si>
    <t>CD</t>
  </si>
  <si>
    <t>Orthotic - Knee</t>
  </si>
  <si>
    <t>Knee OA</t>
  </si>
  <si>
    <t>Duplicate NHS</t>
  </si>
  <si>
    <t>EF</t>
  </si>
  <si>
    <t>AFO</t>
  </si>
  <si>
    <t>IJ</t>
  </si>
  <si>
    <t>KL</t>
  </si>
  <si>
    <t>Knee instability</t>
  </si>
  <si>
    <t>R Wilkson</t>
  </si>
  <si>
    <t>MN</t>
  </si>
  <si>
    <t>Foot pain</t>
  </si>
  <si>
    <t>Missing IA date</t>
  </si>
  <si>
    <t>OP</t>
  </si>
  <si>
    <t>QR</t>
  </si>
  <si>
    <t>Shoulder support</t>
  </si>
  <si>
    <t>D. Devlyn</t>
  </si>
  <si>
    <t>Orthotics type</t>
  </si>
  <si>
    <t>Orthotics code</t>
  </si>
  <si>
    <t>Orthotic - Neck</t>
  </si>
  <si>
    <t>Orthotic - Wrist</t>
  </si>
  <si>
    <t>Orthotic - Hip</t>
  </si>
  <si>
    <t>Olivia Davies</t>
  </si>
  <si>
    <t>Missing</t>
  </si>
  <si>
    <t>Orthotic - Foot</t>
  </si>
  <si>
    <t>466 250 4236</t>
  </si>
  <si>
    <t>490 753 1966</t>
  </si>
  <si>
    <t>482 751 6383</t>
  </si>
  <si>
    <t>612 773 1364</t>
  </si>
  <si>
    <t>470 784 3018</t>
  </si>
  <si>
    <t>460 606 9937</t>
  </si>
  <si>
    <t>470 060 6991</t>
  </si>
  <si>
    <t>498 220 1345</t>
  </si>
  <si>
    <t>502 118 7744</t>
  </si>
  <si>
    <t>509 331 8822</t>
  </si>
  <si>
    <t>477 221 0044</t>
  </si>
  <si>
    <t>512 009 4411</t>
  </si>
  <si>
    <t>520 118 7744</t>
  </si>
  <si>
    <t>533 882 1100</t>
  </si>
  <si>
    <t>540 998 2211</t>
  </si>
  <si>
    <t>550 112 3344</t>
  </si>
  <si>
    <t>560 223 4455</t>
  </si>
  <si>
    <t>570 334 5566</t>
  </si>
  <si>
    <t>Raw</t>
  </si>
  <si>
    <t>Name</t>
  </si>
  <si>
    <t>Rachel Wilkinson</t>
  </si>
  <si>
    <t>Olivia Davis</t>
  </si>
  <si>
    <t>Dylan Devlin</t>
  </si>
  <si>
    <t>Steph miles</t>
  </si>
  <si>
    <t>Stephanie Miles</t>
  </si>
  <si>
    <t>WD = Working days</t>
  </si>
  <si>
    <t>Interval GP/Orthotics WD</t>
  </si>
  <si>
    <t>Interval Orthotics to Initial assessment WD</t>
  </si>
  <si>
    <t>Total Pathway WD</t>
  </si>
  <si>
    <t>GP  referral to Orthotics Date</t>
  </si>
  <si>
    <t>Request  sent to GP Date</t>
  </si>
  <si>
    <t>Initial assessment date Date</t>
  </si>
  <si>
    <t>Category</t>
  </si>
  <si>
    <t>Osteoarthritis</t>
  </si>
  <si>
    <t>Weakness/Instability</t>
  </si>
  <si>
    <t>Pain</t>
  </si>
  <si>
    <t>Leg length Descrepancy</t>
  </si>
  <si>
    <t>Count of NHS Number</t>
  </si>
  <si>
    <t>Average of Total Pathway WD</t>
  </si>
  <si>
    <t>Average of Interval GP/Orthotics WD</t>
  </si>
  <si>
    <t>Row Labels</t>
  </si>
  <si>
    <t>Grand Total</t>
  </si>
  <si>
    <t>Count of Class</t>
  </si>
  <si>
    <t>Average of Interval Orthotics to Initial assessment WD</t>
  </si>
  <si>
    <t>Referral number</t>
  </si>
  <si>
    <t>Count of Referral number</t>
  </si>
  <si>
    <t>Accepted</t>
  </si>
  <si>
    <t>Rejected</t>
  </si>
  <si>
    <t>Notes</t>
  </si>
  <si>
    <t>Outcome</t>
  </si>
  <si>
    <t>Count of Outcome</t>
  </si>
  <si>
    <t>Reason for referral</t>
  </si>
  <si>
    <t>Problem</t>
  </si>
  <si>
    <t>Count of Reason for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</si>
</sst>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2"/>
        <bgColor indexed="64"/>
      </patternFill>
    </fill>
    <fill>
      <patternFill patternType="solid">
        <fgColor theme="0" tint="-0.149998474074526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1"/>
      </right>
      <top style="thin">
        <color theme="1"/>
      </top>
      <bottom style="thin">
        <color theme="0"/>
      </bottom>
      <diagonal/>
    </border>
    <border>
      <left style="thin">
        <color theme="0"/>
      </left>
      <right style="thin">
        <color theme="1"/>
      </right>
      <top style="thin">
        <color theme="0"/>
      </top>
      <bottom style="thin">
        <color theme="0"/>
      </bottom>
      <diagonal/>
    </border>
    <border>
      <left style="thin">
        <color theme="0"/>
      </left>
      <right style="thin">
        <color theme="1"/>
      </right>
      <top style="thin">
        <color theme="0"/>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1"/>
      </left>
      <right style="thin">
        <color indexed="64"/>
      </right>
      <top style="thin">
        <color theme="1"/>
      </top>
      <bottom style="thin">
        <color theme="0"/>
      </bottom>
      <diagonal/>
    </border>
    <border>
      <left style="thin">
        <color theme="1"/>
      </left>
      <right style="thin">
        <color indexed="64"/>
      </right>
      <top style="thin">
        <color theme="0"/>
      </top>
      <bottom style="thin">
        <color theme="0"/>
      </bottom>
      <diagonal/>
    </border>
    <border>
      <left style="thin">
        <color theme="1"/>
      </left>
      <right style="thin">
        <color indexed="64"/>
      </right>
      <top style="thin">
        <color theme="0"/>
      </top>
      <bottom style="thin">
        <color theme="1"/>
      </bottom>
      <diagonal/>
    </border>
    <border>
      <left style="thin">
        <color rgb="FFABABAB"/>
      </left>
      <right style="thin">
        <color rgb="FFABABAB"/>
      </right>
      <top style="thin">
        <color rgb="FFABABAB"/>
      </top>
      <bottom style="thin">
        <color rgb="FFABABAB"/>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14" fontId="0" fillId="0" borderId="0" xfId="0" applyNumberFormat="1"/>
    <xf numFmtId="14" fontId="0" fillId="0" borderId="0" xfId="0" applyNumberFormat="1" applyAlignment="1">
      <alignment horizontal="right"/>
    </xf>
    <xf numFmtId="1" fontId="17" fillId="33" borderId="10" xfId="0" applyNumberFormat="1" applyFont="1" applyFill="1" applyBorder="1" applyAlignment="1">
      <alignment horizontal="center" vertical="center"/>
    </xf>
    <xf numFmtId="1" fontId="0" fillId="34" borderId="11" xfId="0" applyNumberFormat="1" applyFill="1" applyBorder="1"/>
    <xf numFmtId="1" fontId="0" fillId="0" borderId="11" xfId="0" applyNumberFormat="1" applyBorder="1"/>
    <xf numFmtId="1" fontId="0" fillId="0" borderId="12" xfId="0" applyNumberFormat="1" applyBorder="1"/>
    <xf numFmtId="1" fontId="0" fillId="0" borderId="0" xfId="0" applyNumberFormat="1"/>
    <xf numFmtId="1" fontId="0" fillId="0" borderId="13" xfId="0" applyNumberFormat="1" applyBorder="1"/>
    <xf numFmtId="0" fontId="0" fillId="0" borderId="13" xfId="0" applyBorder="1"/>
    <xf numFmtId="0" fontId="0" fillId="0" borderId="14" xfId="0" applyBorder="1"/>
    <xf numFmtId="1" fontId="0" fillId="0" borderId="15" xfId="0" applyNumberFormat="1" applyBorder="1"/>
    <xf numFmtId="0" fontId="0" fillId="0" borderId="16" xfId="0" applyBorder="1"/>
    <xf numFmtId="1" fontId="0" fillId="0" borderId="16" xfId="0" applyNumberFormat="1" applyBorder="1"/>
    <xf numFmtId="1" fontId="0" fillId="0" borderId="18" xfId="0" applyNumberFormat="1" applyBorder="1"/>
    <xf numFmtId="0" fontId="0" fillId="0" borderId="20" xfId="0" applyBorder="1"/>
    <xf numFmtId="0" fontId="0" fillId="0" borderId="17" xfId="0" applyBorder="1"/>
    <xf numFmtId="0" fontId="17" fillId="33" borderId="21" xfId="0" applyFont="1" applyFill="1" applyBorder="1" applyAlignment="1">
      <alignment horizontal="center" vertical="center"/>
    </xf>
    <xf numFmtId="0" fontId="0" fillId="34" borderId="22" xfId="0" applyFill="1" applyBorder="1"/>
    <xf numFmtId="0" fontId="0" fillId="0" borderId="22" xfId="0" applyBorder="1"/>
    <xf numFmtId="0" fontId="0" fillId="0" borderId="23" xfId="0" applyBorder="1"/>
    <xf numFmtId="1" fontId="0" fillId="0" borderId="0" xfId="0" applyNumberFormat="1" applyAlignment="1">
      <alignment horizontal="right"/>
    </xf>
    <xf numFmtId="0" fontId="0" fillId="0" borderId="0" xfId="0" applyAlignment="1">
      <alignment horizontal="center" vertical="center" wrapText="1"/>
    </xf>
    <xf numFmtId="1" fontId="0" fillId="0" borderId="0" xfId="0" applyNumberFormat="1" applyAlignment="1">
      <alignment horizontal="center" vertical="center" wrapText="1"/>
    </xf>
    <xf numFmtId="1" fontId="0" fillId="0" borderId="19" xfId="0" applyNumberFormat="1" applyBorder="1"/>
    <xf numFmtId="0" fontId="0" fillId="0" borderId="0" xfId="0" pivotButton="1"/>
    <xf numFmtId="0" fontId="0" fillId="0" borderId="0" xfId="0" applyAlignment="1">
      <alignment horizontal="left"/>
    </xf>
    <xf numFmtId="0" fontId="0" fillId="35" borderId="0" xfId="0" applyFill="1"/>
    <xf numFmtId="0" fontId="0" fillId="0" borderId="24" xfId="0" applyBorder="1"/>
    <xf numFmtId="0" fontId="0" fillId="0" borderId="0" xfId="0" applyNumberFormat="1"/>
    <xf numFmtId="9" fontId="0" fillId="0" borderId="13" xfId="42"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30" formatCode="@"/>
    </dxf>
    <dxf>
      <numFmt numFmtId="1" formatCode="0"/>
    </dxf>
    <dxf>
      <numFmt numFmtId="1" formatCode="0"/>
    </dxf>
    <dxf>
      <numFmt numFmtId="19" formatCode="dd/mm/yyyy"/>
    </dxf>
    <dxf>
      <numFmt numFmtId="1" formatCode="0"/>
    </dxf>
    <dxf>
      <numFmt numFmtId="19" formatCode="dd/mm/yyyy"/>
    </dxf>
    <dxf>
      <numFmt numFmtId="1" formatCode="0"/>
      <alignment horizontal="right" vertical="bottom" textRotation="0" wrapText="0" indent="0" justifyLastLine="0" shrinkToFit="0" readingOrder="0"/>
    </dxf>
    <dxf>
      <numFmt numFmtId="19" formatCode="dd/mm/yyyy"/>
    </dxf>
    <dxf>
      <numFmt numFmtId="1" formatCode="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from Ortho review_cleaned.xlsx]Pivot Tables!PivotTable6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70534677220834E-2"/>
          <c:y val="0.15968759113444153"/>
          <c:w val="0.95370575096451071"/>
          <c:h val="0.75385576802899634"/>
        </c:manualLayout>
      </c:layout>
      <c:barChart>
        <c:barDir val="col"/>
        <c:grouping val="stacked"/>
        <c:varyColors val="0"/>
        <c:ser>
          <c:idx val="0"/>
          <c:order val="0"/>
          <c:tx>
            <c:strRef>
              <c:f>'Pivot Tables'!$F$19</c:f>
              <c:strCache>
                <c:ptCount val="1"/>
                <c:pt idx="0">
                  <c:v>Average of Interval GP/Orthotics WD</c:v>
                </c:pt>
              </c:strCache>
            </c:strRef>
          </c:tx>
          <c:spPr>
            <a:solidFill>
              <a:schemeClr val="accent1"/>
            </a:solidFill>
            <a:ln>
              <a:noFill/>
            </a:ln>
            <a:effectLst/>
          </c:spPr>
          <c:invertIfNegative val="0"/>
          <c:cat>
            <c:strRef>
              <c:f>'Pivot Tables'!$E$20:$E$40</c:f>
              <c:strCache>
                <c:ptCount val="20"/>
                <c:pt idx="0">
                  <c:v>20</c:v>
                </c:pt>
                <c:pt idx="1">
                  <c:v>19</c:v>
                </c:pt>
                <c:pt idx="2">
                  <c:v>18</c:v>
                </c:pt>
                <c:pt idx="3">
                  <c:v>17</c:v>
                </c:pt>
                <c:pt idx="4">
                  <c:v>16</c:v>
                </c:pt>
                <c:pt idx="5">
                  <c:v>15</c:v>
                </c:pt>
                <c:pt idx="6">
                  <c:v>14</c:v>
                </c:pt>
                <c:pt idx="7">
                  <c:v>13</c:v>
                </c:pt>
                <c:pt idx="8">
                  <c:v>12</c:v>
                </c:pt>
                <c:pt idx="9">
                  <c:v>11</c:v>
                </c:pt>
                <c:pt idx="10">
                  <c:v>10</c:v>
                </c:pt>
                <c:pt idx="11">
                  <c:v>9</c:v>
                </c:pt>
                <c:pt idx="12">
                  <c:v>8</c:v>
                </c:pt>
                <c:pt idx="13">
                  <c:v>7</c:v>
                </c:pt>
                <c:pt idx="14">
                  <c:v>6</c:v>
                </c:pt>
                <c:pt idx="15">
                  <c:v>5</c:v>
                </c:pt>
                <c:pt idx="16">
                  <c:v>4</c:v>
                </c:pt>
                <c:pt idx="17">
                  <c:v>3</c:v>
                </c:pt>
                <c:pt idx="18">
                  <c:v>2</c:v>
                </c:pt>
                <c:pt idx="19">
                  <c:v>1</c:v>
                </c:pt>
              </c:strCache>
            </c:strRef>
          </c:cat>
          <c:val>
            <c:numRef>
              <c:f>'Pivot Tables'!$F$20:$F$40</c:f>
              <c:numCache>
                <c:formatCode>0</c:formatCode>
                <c:ptCount val="20"/>
                <c:pt idx="0">
                  <c:v>12</c:v>
                </c:pt>
                <c:pt idx="1">
                  <c:v>13</c:v>
                </c:pt>
                <c:pt idx="2">
                  <c:v>12</c:v>
                </c:pt>
                <c:pt idx="3">
                  <c:v>15</c:v>
                </c:pt>
                <c:pt idx="4">
                  <c:v>12</c:v>
                </c:pt>
                <c:pt idx="5">
                  <c:v>11</c:v>
                </c:pt>
                <c:pt idx="6">
                  <c:v>11</c:v>
                </c:pt>
                <c:pt idx="7">
                  <c:v>12</c:v>
                </c:pt>
                <c:pt idx="8">
                  <c:v>11</c:v>
                </c:pt>
                <c:pt idx="9">
                  <c:v>12</c:v>
                </c:pt>
                <c:pt idx="10">
                  <c:v>9</c:v>
                </c:pt>
                <c:pt idx="11">
                  <c:v>11</c:v>
                </c:pt>
                <c:pt idx="12">
                  <c:v>7</c:v>
                </c:pt>
                <c:pt idx="13">
                  <c:v>13</c:v>
                </c:pt>
                <c:pt idx="14">
                  <c:v>10</c:v>
                </c:pt>
                <c:pt idx="15">
                  <c:v>10</c:v>
                </c:pt>
                <c:pt idx="16">
                  <c:v>1</c:v>
                </c:pt>
                <c:pt idx="17">
                  <c:v>11</c:v>
                </c:pt>
                <c:pt idx="18">
                  <c:v>11</c:v>
                </c:pt>
                <c:pt idx="19">
                  <c:v>8</c:v>
                </c:pt>
              </c:numCache>
            </c:numRef>
          </c:val>
          <c:extLst>
            <c:ext xmlns:c16="http://schemas.microsoft.com/office/drawing/2014/chart" uri="{C3380CC4-5D6E-409C-BE32-E72D297353CC}">
              <c16:uniqueId val="{00000000-F24B-4601-A6BD-60B7E563F0AC}"/>
            </c:ext>
          </c:extLst>
        </c:ser>
        <c:ser>
          <c:idx val="1"/>
          <c:order val="1"/>
          <c:tx>
            <c:strRef>
              <c:f>'Pivot Tables'!$G$19</c:f>
              <c:strCache>
                <c:ptCount val="1"/>
                <c:pt idx="0">
                  <c:v>Average of Interval Orthotics to Initial assessment WD</c:v>
                </c:pt>
              </c:strCache>
            </c:strRef>
          </c:tx>
          <c:spPr>
            <a:solidFill>
              <a:schemeClr val="accent2"/>
            </a:solidFill>
            <a:ln>
              <a:noFill/>
            </a:ln>
            <a:effectLst/>
          </c:spPr>
          <c:invertIfNegative val="0"/>
          <c:cat>
            <c:strRef>
              <c:f>'Pivot Tables'!$E$20:$E$40</c:f>
              <c:strCache>
                <c:ptCount val="20"/>
                <c:pt idx="0">
                  <c:v>20</c:v>
                </c:pt>
                <c:pt idx="1">
                  <c:v>19</c:v>
                </c:pt>
                <c:pt idx="2">
                  <c:v>18</c:v>
                </c:pt>
                <c:pt idx="3">
                  <c:v>17</c:v>
                </c:pt>
                <c:pt idx="4">
                  <c:v>16</c:v>
                </c:pt>
                <c:pt idx="5">
                  <c:v>15</c:v>
                </c:pt>
                <c:pt idx="6">
                  <c:v>14</c:v>
                </c:pt>
                <c:pt idx="7">
                  <c:v>13</c:v>
                </c:pt>
                <c:pt idx="8">
                  <c:v>12</c:v>
                </c:pt>
                <c:pt idx="9">
                  <c:v>11</c:v>
                </c:pt>
                <c:pt idx="10">
                  <c:v>10</c:v>
                </c:pt>
                <c:pt idx="11">
                  <c:v>9</c:v>
                </c:pt>
                <c:pt idx="12">
                  <c:v>8</c:v>
                </c:pt>
                <c:pt idx="13">
                  <c:v>7</c:v>
                </c:pt>
                <c:pt idx="14">
                  <c:v>6</c:v>
                </c:pt>
                <c:pt idx="15">
                  <c:v>5</c:v>
                </c:pt>
                <c:pt idx="16">
                  <c:v>4</c:v>
                </c:pt>
                <c:pt idx="17">
                  <c:v>3</c:v>
                </c:pt>
                <c:pt idx="18">
                  <c:v>2</c:v>
                </c:pt>
                <c:pt idx="19">
                  <c:v>1</c:v>
                </c:pt>
              </c:strCache>
            </c:strRef>
          </c:cat>
          <c:val>
            <c:numRef>
              <c:f>'Pivot Tables'!$G$20:$G$40</c:f>
              <c:numCache>
                <c:formatCode>0</c:formatCode>
                <c:ptCount val="20"/>
                <c:pt idx="0">
                  <c:v>39</c:v>
                </c:pt>
                <c:pt idx="1">
                  <c:v>37</c:v>
                </c:pt>
                <c:pt idx="2">
                  <c:v>36</c:v>
                </c:pt>
                <c:pt idx="3">
                  <c:v>35</c:v>
                </c:pt>
                <c:pt idx="4">
                  <c:v>34</c:v>
                </c:pt>
                <c:pt idx="5">
                  <c:v>33</c:v>
                </c:pt>
                <c:pt idx="6">
                  <c:v>38</c:v>
                </c:pt>
                <c:pt idx="7">
                  <c:v>36</c:v>
                </c:pt>
                <c:pt idx="8">
                  <c:v>34</c:v>
                </c:pt>
                <c:pt idx="9">
                  <c:v>29</c:v>
                </c:pt>
                <c:pt idx="10">
                  <c:v>32</c:v>
                </c:pt>
                <c:pt idx="11">
                  <c:v>32</c:v>
                </c:pt>
                <c:pt idx="12">
                  <c:v>31</c:v>
                </c:pt>
                <c:pt idx="13">
                  <c:v>33</c:v>
                </c:pt>
                <c:pt idx="14">
                  <c:v>32</c:v>
                </c:pt>
                <c:pt idx="15">
                  <c:v>30</c:v>
                </c:pt>
                <c:pt idx="16">
                  <c:v>26</c:v>
                </c:pt>
                <c:pt idx="17">
                  <c:v>30</c:v>
                </c:pt>
                <c:pt idx="18">
                  <c:v>30</c:v>
                </c:pt>
                <c:pt idx="19">
                  <c:v>33</c:v>
                </c:pt>
              </c:numCache>
            </c:numRef>
          </c:val>
          <c:extLst>
            <c:ext xmlns:c16="http://schemas.microsoft.com/office/drawing/2014/chart" uri="{C3380CC4-5D6E-409C-BE32-E72D297353CC}">
              <c16:uniqueId val="{00000001-F24B-4601-A6BD-60B7E563F0AC}"/>
            </c:ext>
          </c:extLst>
        </c:ser>
        <c:dLbls>
          <c:showLegendKey val="0"/>
          <c:showVal val="0"/>
          <c:showCatName val="0"/>
          <c:showSerName val="0"/>
          <c:showPercent val="0"/>
          <c:showBubbleSize val="0"/>
        </c:dLbls>
        <c:gapWidth val="150"/>
        <c:overlap val="100"/>
        <c:axId val="1777142719"/>
        <c:axId val="1777140799"/>
      </c:barChart>
      <c:catAx>
        <c:axId val="1777142719"/>
        <c:scaling>
          <c:orientation val="minMax"/>
        </c:scaling>
        <c:delete val="1"/>
        <c:axPos val="b"/>
        <c:numFmt formatCode="General" sourceLinked="1"/>
        <c:majorTickMark val="out"/>
        <c:minorTickMark val="none"/>
        <c:tickLblPos val="nextTo"/>
        <c:crossAx val="1777140799"/>
        <c:crosses val="autoZero"/>
        <c:auto val="1"/>
        <c:lblAlgn val="ctr"/>
        <c:lblOffset val="100"/>
        <c:noMultiLvlLbl val="0"/>
      </c:catAx>
      <c:valAx>
        <c:axId val="1777140799"/>
        <c:scaling>
          <c:orientation val="minMax"/>
        </c:scaling>
        <c:delete val="1"/>
        <c:axPos val="l"/>
        <c:numFmt formatCode="0" sourceLinked="1"/>
        <c:majorTickMark val="out"/>
        <c:minorTickMark val="none"/>
        <c:tickLblPos val="nextTo"/>
        <c:crossAx val="17771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from Ortho review_cleaned.xlsx]Pivot Tables!PivotTable5</c:name>
    <c:fmtId val="3"/>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41733814778403E-2"/>
          <c:y val="0.21090171420880083"/>
          <c:w val="0.53179190751445082"/>
          <c:h val="0.71042471042471045"/>
        </c:manualLayout>
      </c:layout>
      <c:pieChart>
        <c:varyColors val="1"/>
        <c:ser>
          <c:idx val="0"/>
          <c:order val="0"/>
          <c:tx>
            <c:strRef>
              <c:f>'Pivot Tables'!$F$12</c:f>
              <c:strCache>
                <c:ptCount val="1"/>
                <c:pt idx="0">
                  <c:v>Total</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Tables'!$E$13:$E$17</c:f>
              <c:strCache>
                <c:ptCount val="4"/>
                <c:pt idx="0">
                  <c:v>Leg length Descrepancy</c:v>
                </c:pt>
                <c:pt idx="1">
                  <c:v>Osteoarthritis</c:v>
                </c:pt>
                <c:pt idx="2">
                  <c:v>Pain</c:v>
                </c:pt>
                <c:pt idx="3">
                  <c:v>Weakness/Instability</c:v>
                </c:pt>
              </c:strCache>
            </c:strRef>
          </c:cat>
          <c:val>
            <c:numRef>
              <c:f>'Pivot Tables'!$F$13:$F$17</c:f>
              <c:numCache>
                <c:formatCode>General</c:formatCode>
                <c:ptCount val="4"/>
                <c:pt idx="0">
                  <c:v>6</c:v>
                </c:pt>
                <c:pt idx="1">
                  <c:v>3</c:v>
                </c:pt>
                <c:pt idx="2">
                  <c:v>2</c:v>
                </c:pt>
                <c:pt idx="3">
                  <c:v>9</c:v>
                </c:pt>
              </c:numCache>
            </c:numRef>
          </c:val>
          <c:extLst>
            <c:ext xmlns:c16="http://schemas.microsoft.com/office/drawing/2014/chart" uri="{C3380CC4-5D6E-409C-BE32-E72D297353CC}">
              <c16:uniqueId val="{0000000F-71F7-4A54-B519-C34A5F56AB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081649068060051"/>
          <c:y val="0.14285410269662235"/>
          <c:w val="0.35260115606936415"/>
          <c:h val="0.71429179460675518"/>
        </c:manualLayout>
      </c:layout>
      <c:overlay val="1"/>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from Ortho review_cleaned.xlsx]Pivot Tables!PivotTable4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2">
              <a:lumMod val="60000"/>
            </a:schemeClr>
          </a:solidFill>
          <a:ln w="19050">
            <a:solidFill>
              <a:schemeClr val="lt1"/>
            </a:solidFill>
          </a:ln>
          <a:effectLst/>
        </c:spPr>
      </c:pivotFmt>
      <c:pivotFmt>
        <c:idx val="13"/>
        <c:spPr>
          <a:solidFill>
            <a:schemeClr val="accent4">
              <a:lumMod val="60000"/>
            </a:schemeClr>
          </a:solidFill>
          <a:ln w="19050">
            <a:solidFill>
              <a:schemeClr val="lt1"/>
            </a:solidFill>
          </a:ln>
          <a:effectLst/>
        </c:spPr>
      </c:pivotFmt>
      <c:pivotFmt>
        <c:idx val="14"/>
        <c:spPr>
          <a:solidFill>
            <a:schemeClr val="accent6">
              <a:lumMod val="60000"/>
            </a:schemeClr>
          </a:solidFill>
          <a:ln w="19050">
            <a:solidFill>
              <a:schemeClr val="lt1"/>
            </a:solidFill>
          </a:ln>
          <a:effectLst/>
        </c:spPr>
      </c:pivotFmt>
    </c:pivotFmts>
    <c:plotArea>
      <c:layout>
        <c:manualLayout>
          <c:layoutTarget val="inner"/>
          <c:xMode val="edge"/>
          <c:yMode val="edge"/>
          <c:x val="7.7202543142597641E-2"/>
          <c:y val="0.22892060367454067"/>
          <c:w val="0.5035329371294528"/>
          <c:h val="0.69998707547920147"/>
        </c:manualLayout>
      </c:layout>
      <c:doughnutChart>
        <c:varyColors val="1"/>
        <c:ser>
          <c:idx val="0"/>
          <c:order val="0"/>
          <c:tx>
            <c:strRef>
              <c:f>'Pivot Tables'!$F$3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49F-43F4-A98F-4D4CB57D5A7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49F-43F4-A98F-4D4CB57D5A7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49F-43F4-A98F-4D4CB57D5A7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49F-43F4-A98F-4D4CB57D5A7B}"/>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F49F-43F4-A98F-4D4CB57D5A7B}"/>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F49F-43F4-A98F-4D4CB57D5A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Tables'!$E$4:$E$10</c:f>
              <c:strCache>
                <c:ptCount val="6"/>
                <c:pt idx="0">
                  <c:v>Footwear</c:v>
                </c:pt>
                <c:pt idx="1">
                  <c:v>Orthotic - Arm</c:v>
                </c:pt>
                <c:pt idx="2">
                  <c:v>Orthotic - Foot</c:v>
                </c:pt>
                <c:pt idx="3">
                  <c:v>Orthotic - Knee</c:v>
                </c:pt>
                <c:pt idx="4">
                  <c:v>Orthotic - Wrist</c:v>
                </c:pt>
                <c:pt idx="5">
                  <c:v>Shoe Raise</c:v>
                </c:pt>
              </c:strCache>
            </c:strRef>
          </c:cat>
          <c:val>
            <c:numRef>
              <c:f>'Pivot Tables'!$F$4:$F$10</c:f>
              <c:numCache>
                <c:formatCode>General</c:formatCode>
                <c:ptCount val="6"/>
                <c:pt idx="0">
                  <c:v>2</c:v>
                </c:pt>
                <c:pt idx="1">
                  <c:v>2</c:v>
                </c:pt>
                <c:pt idx="2">
                  <c:v>5</c:v>
                </c:pt>
                <c:pt idx="3">
                  <c:v>4</c:v>
                </c:pt>
                <c:pt idx="4">
                  <c:v>1</c:v>
                </c:pt>
                <c:pt idx="5">
                  <c:v>6</c:v>
                </c:pt>
              </c:numCache>
            </c:numRef>
          </c:val>
          <c:extLst>
            <c:ext xmlns:c16="http://schemas.microsoft.com/office/drawing/2014/chart" uri="{C3380CC4-5D6E-409C-BE32-E72D297353CC}">
              <c16:uniqueId val="{0000000C-F49F-43F4-A98F-4D4CB57D5A7B}"/>
            </c:ext>
          </c:extLst>
        </c:ser>
        <c:dLbls>
          <c:showLegendKey val="0"/>
          <c:showVal val="0"/>
          <c:showCatName val="0"/>
          <c:showSerName val="0"/>
          <c:showPercent val="1"/>
          <c:showBubbleSize val="0"/>
          <c:showLeaderLines val="1"/>
        </c:dLbls>
        <c:firstSliceAng val="0"/>
        <c:holeSize val="51"/>
      </c:doughnutChart>
      <c:spPr>
        <a:noFill/>
        <a:ln>
          <a:noFill/>
        </a:ln>
        <a:effectLst/>
      </c:spPr>
    </c:plotArea>
    <c:legend>
      <c:legendPos val="r"/>
      <c:layout>
        <c:manualLayout>
          <c:xMode val="edge"/>
          <c:yMode val="edge"/>
          <c:x val="0.63523139307859"/>
          <c:y val="0.24983993478087965"/>
          <c:w val="0.31935534624929379"/>
          <c:h val="0.63920901932712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from Ortho review_cleaned.xlsx]Pivot Tables!PivotTable8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86541999602691"/>
          <c:y val="7.9869189118563694E-2"/>
          <c:w val="0.58649436318086312"/>
          <c:h val="0.80724142533030829"/>
        </c:manualLayout>
      </c:layout>
      <c:barChart>
        <c:barDir val="bar"/>
        <c:grouping val="clustered"/>
        <c:varyColors val="0"/>
        <c:ser>
          <c:idx val="0"/>
          <c:order val="0"/>
          <c:tx>
            <c:strRef>
              <c:f>'Pivot Tables'!$I$10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Tables'!$H$11:$H$16</c:f>
              <c:strCache>
                <c:ptCount val="5"/>
                <c:pt idx="0">
                  <c:v>Dylan Devlin</c:v>
                </c:pt>
                <c:pt idx="1">
                  <c:v>Marc Riley</c:v>
                </c:pt>
                <c:pt idx="2">
                  <c:v>Olivia Davies</c:v>
                </c:pt>
                <c:pt idx="3">
                  <c:v>Rachel Wilkinson</c:v>
                </c:pt>
                <c:pt idx="4">
                  <c:v>Stephanie Miles</c:v>
                </c:pt>
              </c:strCache>
            </c:strRef>
          </c:cat>
          <c:val>
            <c:numRef>
              <c:f>'Pivot Tables'!$I$11:$I$16</c:f>
              <c:numCache>
                <c:formatCode>General</c:formatCode>
                <c:ptCount val="5"/>
                <c:pt idx="0">
                  <c:v>1</c:v>
                </c:pt>
                <c:pt idx="1">
                  <c:v>11</c:v>
                </c:pt>
                <c:pt idx="2">
                  <c:v>1</c:v>
                </c:pt>
                <c:pt idx="3">
                  <c:v>3</c:v>
                </c:pt>
                <c:pt idx="4">
                  <c:v>4</c:v>
                </c:pt>
              </c:numCache>
            </c:numRef>
          </c:val>
          <c:extLst>
            <c:ext xmlns:c16="http://schemas.microsoft.com/office/drawing/2014/chart" uri="{C3380CC4-5D6E-409C-BE32-E72D297353CC}">
              <c16:uniqueId val="{00000000-F02B-4BA5-8EF8-F2C89E2780FC}"/>
            </c:ext>
          </c:extLst>
        </c:ser>
        <c:dLbls>
          <c:dLblPos val="outEnd"/>
          <c:showLegendKey val="0"/>
          <c:showVal val="1"/>
          <c:showCatName val="0"/>
          <c:showSerName val="0"/>
          <c:showPercent val="0"/>
          <c:showBubbleSize val="0"/>
        </c:dLbls>
        <c:gapWidth val="182"/>
        <c:axId val="1938402223"/>
        <c:axId val="1938396943"/>
      </c:barChart>
      <c:catAx>
        <c:axId val="19384022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38396943"/>
        <c:crosses val="autoZero"/>
        <c:auto val="1"/>
        <c:lblAlgn val="ctr"/>
        <c:lblOffset val="100"/>
        <c:noMultiLvlLbl val="0"/>
      </c:catAx>
      <c:valAx>
        <c:axId val="1938396943"/>
        <c:scaling>
          <c:orientation val="minMax"/>
        </c:scaling>
        <c:delete val="1"/>
        <c:axPos val="b"/>
        <c:numFmt formatCode="General" sourceLinked="1"/>
        <c:majorTickMark val="out"/>
        <c:minorTickMark val="none"/>
        <c:tickLblPos val="nextTo"/>
        <c:crossAx val="193840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91441</xdr:colOff>
      <xdr:row>0</xdr:row>
      <xdr:rowOff>57150</xdr:rowOff>
    </xdr:from>
    <xdr:to>
      <xdr:col>15</xdr:col>
      <xdr:colOff>9525</xdr:colOff>
      <xdr:row>2</xdr:row>
      <xdr:rowOff>167640</xdr:rowOff>
    </xdr:to>
    <xdr:sp macro="" textlink="">
      <xdr:nvSpPr>
        <xdr:cNvPr id="5" name="Rectangle: Rounded Corners 4">
          <a:extLst>
            <a:ext uri="{FF2B5EF4-FFF2-40B4-BE49-F238E27FC236}">
              <a16:creationId xmlns:a16="http://schemas.microsoft.com/office/drawing/2014/main" id="{4F5EB98E-0962-46F7-A237-C8F4E9395731}"/>
            </a:ext>
          </a:extLst>
        </xdr:cNvPr>
        <xdr:cNvSpPr/>
      </xdr:nvSpPr>
      <xdr:spPr>
        <a:xfrm>
          <a:off x="91441" y="57150"/>
          <a:ext cx="9062084" cy="472440"/>
        </a:xfrm>
        <a:prstGeom prst="roundRect">
          <a:avLst>
            <a:gd name="adj" fmla="val 6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0</xdr:col>
      <xdr:colOff>85725</xdr:colOff>
      <xdr:row>8</xdr:row>
      <xdr:rowOff>95250</xdr:rowOff>
    </xdr:from>
    <xdr:to>
      <xdr:col>2</xdr:col>
      <xdr:colOff>180975</xdr:colOff>
      <xdr:row>13</xdr:row>
      <xdr:rowOff>76200</xdr:rowOff>
    </xdr:to>
    <xdr:sp macro="" textlink="">
      <xdr:nvSpPr>
        <xdr:cNvPr id="6" name="Rectangle: Rounded Corners 5">
          <a:extLst>
            <a:ext uri="{FF2B5EF4-FFF2-40B4-BE49-F238E27FC236}">
              <a16:creationId xmlns:a16="http://schemas.microsoft.com/office/drawing/2014/main" id="{0450F646-B2D6-3C10-3928-66FDC144797D}"/>
            </a:ext>
          </a:extLst>
        </xdr:cNvPr>
        <xdr:cNvSpPr/>
      </xdr:nvSpPr>
      <xdr:spPr>
        <a:xfrm>
          <a:off x="85725" y="1543050"/>
          <a:ext cx="1314450" cy="885825"/>
        </a:xfrm>
        <a:prstGeom prst="roundRect">
          <a:avLst>
            <a:gd name="adj" fmla="val 6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0</xdr:col>
      <xdr:colOff>83820</xdr:colOff>
      <xdr:row>3</xdr:row>
      <xdr:rowOff>68580</xdr:rowOff>
    </xdr:from>
    <xdr:to>
      <xdr:col>2</xdr:col>
      <xdr:colOff>182880</xdr:colOff>
      <xdr:row>8</xdr:row>
      <xdr:rowOff>30480</xdr:rowOff>
    </xdr:to>
    <xdr:sp macro="" textlink="">
      <xdr:nvSpPr>
        <xdr:cNvPr id="8" name="Rectangle: Rounded Corners 7">
          <a:extLst>
            <a:ext uri="{FF2B5EF4-FFF2-40B4-BE49-F238E27FC236}">
              <a16:creationId xmlns:a16="http://schemas.microsoft.com/office/drawing/2014/main" id="{9B34EDA7-86A1-8375-10B2-4218C7379815}"/>
            </a:ext>
          </a:extLst>
        </xdr:cNvPr>
        <xdr:cNvSpPr/>
      </xdr:nvSpPr>
      <xdr:spPr>
        <a:xfrm>
          <a:off x="83820" y="617220"/>
          <a:ext cx="1318260" cy="876300"/>
        </a:xfrm>
        <a:prstGeom prst="roundRect">
          <a:avLst>
            <a:gd name="adj" fmla="val 677"/>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solidFill>
                <a:schemeClr val="accent2">
                  <a:lumMod val="75000"/>
                </a:schemeClr>
              </a:solidFill>
            </a:ln>
            <a:solidFill>
              <a:srgbClr val="FF0000"/>
            </a:solidFill>
          </a:endParaRPr>
        </a:p>
      </xdr:txBody>
    </xdr:sp>
    <xdr:clientData/>
  </xdr:twoCellAnchor>
  <xdr:twoCellAnchor>
    <xdr:from>
      <xdr:col>1</xdr:col>
      <xdr:colOff>236220</xdr:colOff>
      <xdr:row>5</xdr:row>
      <xdr:rowOff>76200</xdr:rowOff>
    </xdr:from>
    <xdr:to>
      <xdr:col>2</xdr:col>
      <xdr:colOff>182880</xdr:colOff>
      <xdr:row>7</xdr:row>
      <xdr:rowOff>175260</xdr:rowOff>
    </xdr:to>
    <xdr:sp macro="" textlink="'Pivot Tables'!A4">
      <xdr:nvSpPr>
        <xdr:cNvPr id="9" name="Rectangle: Rounded Corners 8">
          <a:extLst>
            <a:ext uri="{FF2B5EF4-FFF2-40B4-BE49-F238E27FC236}">
              <a16:creationId xmlns:a16="http://schemas.microsoft.com/office/drawing/2014/main" id="{D1EBBCD7-BB05-74CD-BDE8-D805C9D183B3}"/>
            </a:ext>
          </a:extLst>
        </xdr:cNvPr>
        <xdr:cNvSpPr/>
      </xdr:nvSpPr>
      <xdr:spPr>
        <a:xfrm>
          <a:off x="845820" y="990600"/>
          <a:ext cx="556260" cy="464820"/>
        </a:xfrm>
        <a:prstGeom prst="roundRect">
          <a:avLst>
            <a:gd name="adj" fmla="val 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6381BE-6B8C-425A-A792-27428E4855FD}" type="TxLink">
            <a:rPr lang="en-US" sz="2400" b="1" i="0" u="none" strike="noStrike">
              <a:solidFill>
                <a:schemeClr val="bg1"/>
              </a:solidFill>
              <a:latin typeface="Aptos" panose="020B0004020202020204" pitchFamily="34" charset="0"/>
            </a:rPr>
            <a:pPr algn="ctr"/>
            <a:t>20</a:t>
          </a:fld>
          <a:endParaRPr lang="en-GB" sz="2400" b="1">
            <a:solidFill>
              <a:schemeClr val="bg1"/>
            </a:solidFill>
            <a:latin typeface="Aptos" panose="020B0004020202020204" pitchFamily="34" charset="0"/>
          </a:endParaRPr>
        </a:p>
      </xdr:txBody>
    </xdr:sp>
    <xdr:clientData/>
  </xdr:twoCellAnchor>
  <xdr:twoCellAnchor>
    <xdr:from>
      <xdr:col>0</xdr:col>
      <xdr:colOff>45720</xdr:colOff>
      <xdr:row>3</xdr:row>
      <xdr:rowOff>30480</xdr:rowOff>
    </xdr:from>
    <xdr:to>
      <xdr:col>2</xdr:col>
      <xdr:colOff>76200</xdr:colOff>
      <xdr:row>6</xdr:row>
      <xdr:rowOff>91440</xdr:rowOff>
    </xdr:to>
    <xdr:sp macro="" textlink="">
      <xdr:nvSpPr>
        <xdr:cNvPr id="10" name="TextBox 9">
          <a:extLst>
            <a:ext uri="{FF2B5EF4-FFF2-40B4-BE49-F238E27FC236}">
              <a16:creationId xmlns:a16="http://schemas.microsoft.com/office/drawing/2014/main" id="{A2DF4EF0-C59A-B926-5B77-E7158C543B80}"/>
            </a:ext>
          </a:extLst>
        </xdr:cNvPr>
        <xdr:cNvSpPr txBox="1"/>
      </xdr:nvSpPr>
      <xdr:spPr>
        <a:xfrm>
          <a:off x="45720" y="579120"/>
          <a:ext cx="124968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solidFill>
                <a:schemeClr val="bg1"/>
              </a:solidFill>
              <a:latin typeface="Aptos" panose="020B0004020202020204" pitchFamily="34" charset="0"/>
            </a:rPr>
            <a:t>Total number of referrals</a:t>
          </a:r>
        </a:p>
      </xdr:txBody>
    </xdr:sp>
    <xdr:clientData/>
  </xdr:twoCellAnchor>
  <xdr:twoCellAnchor>
    <xdr:from>
      <xdr:col>0</xdr:col>
      <xdr:colOff>60960</xdr:colOff>
      <xdr:row>8</xdr:row>
      <xdr:rowOff>99060</xdr:rowOff>
    </xdr:from>
    <xdr:to>
      <xdr:col>2</xdr:col>
      <xdr:colOff>213360</xdr:colOff>
      <xdr:row>13</xdr:row>
      <xdr:rowOff>45720</xdr:rowOff>
    </xdr:to>
    <xdr:sp macro="" textlink="">
      <xdr:nvSpPr>
        <xdr:cNvPr id="13" name="TextBox 12">
          <a:extLst>
            <a:ext uri="{FF2B5EF4-FFF2-40B4-BE49-F238E27FC236}">
              <a16:creationId xmlns:a16="http://schemas.microsoft.com/office/drawing/2014/main" id="{8FD90ADF-BA1B-5D36-3D16-37C02705ABD3}"/>
            </a:ext>
          </a:extLst>
        </xdr:cNvPr>
        <xdr:cNvSpPr txBox="1"/>
      </xdr:nvSpPr>
      <xdr:spPr>
        <a:xfrm>
          <a:off x="60960" y="1562100"/>
          <a:ext cx="1371600" cy="86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ln>
                <a:noFill/>
              </a:ln>
              <a:solidFill>
                <a:schemeClr val="bg2">
                  <a:lumMod val="50000"/>
                </a:schemeClr>
              </a:solidFill>
              <a:latin typeface="Aptos" panose="020B0004020202020204" pitchFamily="34" charset="0"/>
            </a:rPr>
            <a:t>Avg wait for </a:t>
          </a:r>
          <a:r>
            <a:rPr lang="en-GB" sz="1100" b="1" baseline="0">
              <a:ln>
                <a:noFill/>
              </a:ln>
              <a:solidFill>
                <a:schemeClr val="bg2">
                  <a:lumMod val="50000"/>
                </a:schemeClr>
              </a:solidFill>
              <a:latin typeface="Aptos" panose="020B0004020202020204" pitchFamily="34" charset="0"/>
            </a:rPr>
            <a:t>GP to refer to Orthotics (days)</a:t>
          </a:r>
          <a:endParaRPr lang="en-GB" sz="1100" b="1">
            <a:ln>
              <a:noFill/>
            </a:ln>
            <a:solidFill>
              <a:schemeClr val="bg2">
                <a:lumMod val="50000"/>
              </a:schemeClr>
            </a:solidFill>
            <a:latin typeface="Aptos" panose="020B0004020202020204" pitchFamily="34" charset="0"/>
          </a:endParaRPr>
        </a:p>
      </xdr:txBody>
    </xdr:sp>
    <xdr:clientData/>
  </xdr:twoCellAnchor>
  <xdr:twoCellAnchor>
    <xdr:from>
      <xdr:col>1</xdr:col>
      <xdr:colOff>281940</xdr:colOff>
      <xdr:row>11</xdr:row>
      <xdr:rowOff>5715</xdr:rowOff>
    </xdr:from>
    <xdr:to>
      <xdr:col>2</xdr:col>
      <xdr:colOff>205740</xdr:colOff>
      <xdr:row>13</xdr:row>
      <xdr:rowOff>81915</xdr:rowOff>
    </xdr:to>
    <xdr:sp macro="" textlink="'Pivot Tables'!A10">
      <xdr:nvSpPr>
        <xdr:cNvPr id="12" name="Rectangle: Rounded Corners 11">
          <a:extLst>
            <a:ext uri="{FF2B5EF4-FFF2-40B4-BE49-F238E27FC236}">
              <a16:creationId xmlns:a16="http://schemas.microsoft.com/office/drawing/2014/main" id="{859E2E5D-CDCB-494C-9079-D13C23FC8301}"/>
            </a:ext>
          </a:extLst>
        </xdr:cNvPr>
        <xdr:cNvSpPr/>
      </xdr:nvSpPr>
      <xdr:spPr>
        <a:xfrm>
          <a:off x="891540" y="1996440"/>
          <a:ext cx="533400" cy="438150"/>
        </a:xfrm>
        <a:prstGeom prst="roundRect">
          <a:avLst>
            <a:gd name="adj" fmla="val 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1F27CEB-59EC-49D5-A265-569A1948603E}" type="TxLink">
            <a:rPr lang="en-US" sz="2400" b="1" i="0" u="none" strike="noStrike">
              <a:solidFill>
                <a:srgbClr val="000000"/>
              </a:solidFill>
              <a:latin typeface="Aptos" panose="020B0004020202020204" pitchFamily="34" charset="0"/>
            </a:rPr>
            <a:pPr algn="l"/>
            <a:t>11</a:t>
          </a:fld>
          <a:endParaRPr lang="en-GB" sz="11500" b="1">
            <a:solidFill>
              <a:srgbClr val="FF0000"/>
            </a:solidFill>
            <a:latin typeface="Aptos" panose="020B0004020202020204" pitchFamily="34" charset="0"/>
          </a:endParaRPr>
        </a:p>
      </xdr:txBody>
    </xdr:sp>
    <xdr:clientData/>
  </xdr:twoCellAnchor>
  <xdr:twoCellAnchor>
    <xdr:from>
      <xdr:col>0</xdr:col>
      <xdr:colOff>76200</xdr:colOff>
      <xdr:row>13</xdr:row>
      <xdr:rowOff>140970</xdr:rowOff>
    </xdr:from>
    <xdr:to>
      <xdr:col>2</xdr:col>
      <xdr:colOff>266700</xdr:colOff>
      <xdr:row>18</xdr:row>
      <xdr:rowOff>163830</xdr:rowOff>
    </xdr:to>
    <xdr:grpSp>
      <xdr:nvGrpSpPr>
        <xdr:cNvPr id="38" name="Group 37">
          <a:extLst>
            <a:ext uri="{FF2B5EF4-FFF2-40B4-BE49-F238E27FC236}">
              <a16:creationId xmlns:a16="http://schemas.microsoft.com/office/drawing/2014/main" id="{A343F362-0677-7F76-731B-2FB71A4FF8D9}"/>
            </a:ext>
          </a:extLst>
        </xdr:cNvPr>
        <xdr:cNvGrpSpPr/>
      </xdr:nvGrpSpPr>
      <xdr:grpSpPr>
        <a:xfrm>
          <a:off x="76200" y="2491740"/>
          <a:ext cx="1409700" cy="933450"/>
          <a:chOff x="76200" y="2562225"/>
          <a:chExt cx="1409700" cy="923925"/>
        </a:xfrm>
      </xdr:grpSpPr>
      <xdr:sp macro="" textlink="">
        <xdr:nvSpPr>
          <xdr:cNvPr id="7" name="Rectangle: Rounded Corners 6">
            <a:extLst>
              <a:ext uri="{FF2B5EF4-FFF2-40B4-BE49-F238E27FC236}">
                <a16:creationId xmlns:a16="http://schemas.microsoft.com/office/drawing/2014/main" id="{A89BF8F6-DBB3-4F2E-2685-43BD5693E2E2}"/>
              </a:ext>
            </a:extLst>
          </xdr:cNvPr>
          <xdr:cNvSpPr/>
        </xdr:nvSpPr>
        <xdr:spPr>
          <a:xfrm>
            <a:off x="85725" y="2562225"/>
            <a:ext cx="1323975" cy="895350"/>
          </a:xfrm>
          <a:prstGeom prst="roundRect">
            <a:avLst>
              <a:gd name="adj" fmla="val 6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sp macro="" textlink="">
        <xdr:nvSpPr>
          <xdr:cNvPr id="14" name="TextBox 13">
            <a:extLst>
              <a:ext uri="{FF2B5EF4-FFF2-40B4-BE49-F238E27FC236}">
                <a16:creationId xmlns:a16="http://schemas.microsoft.com/office/drawing/2014/main" id="{0F2F8A79-C9D8-E979-FA01-CBDCDCC7C9DD}"/>
              </a:ext>
            </a:extLst>
          </xdr:cNvPr>
          <xdr:cNvSpPr txBox="1"/>
        </xdr:nvSpPr>
        <xdr:spPr>
          <a:xfrm>
            <a:off x="76200" y="2600325"/>
            <a:ext cx="12668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solidFill>
                  <a:schemeClr val="bg2">
                    <a:lumMod val="50000"/>
                  </a:schemeClr>
                </a:solidFill>
                <a:latin typeface="Aptos" panose="020B0004020202020204" pitchFamily="34" charset="0"/>
              </a:rPr>
              <a:t>Total pathway </a:t>
            </a:r>
            <a:r>
              <a:rPr lang="en-GB" sz="1100" b="1" baseline="0">
                <a:solidFill>
                  <a:schemeClr val="bg2">
                    <a:lumMod val="50000"/>
                  </a:schemeClr>
                </a:solidFill>
                <a:latin typeface="Aptos" panose="020B0004020202020204" pitchFamily="34" charset="0"/>
              </a:rPr>
              <a:t>(days)</a:t>
            </a:r>
            <a:endParaRPr lang="en-GB" sz="1100" b="1">
              <a:solidFill>
                <a:schemeClr val="bg2">
                  <a:lumMod val="50000"/>
                </a:schemeClr>
              </a:solidFill>
              <a:latin typeface="Aptos" panose="020B0004020202020204" pitchFamily="34" charset="0"/>
            </a:endParaRPr>
          </a:p>
        </xdr:txBody>
      </xdr:sp>
      <xdr:sp macro="" textlink="'Pivot Tables'!A7">
        <xdr:nvSpPr>
          <xdr:cNvPr id="11" name="Rectangle: Rounded Corners 10">
            <a:extLst>
              <a:ext uri="{FF2B5EF4-FFF2-40B4-BE49-F238E27FC236}">
                <a16:creationId xmlns:a16="http://schemas.microsoft.com/office/drawing/2014/main" id="{F8274B68-2F8E-2268-EF9C-66415AA33B87}"/>
              </a:ext>
            </a:extLst>
          </xdr:cNvPr>
          <xdr:cNvSpPr/>
        </xdr:nvSpPr>
        <xdr:spPr>
          <a:xfrm>
            <a:off x="885825" y="3028950"/>
            <a:ext cx="600075" cy="457200"/>
          </a:xfrm>
          <a:prstGeom prst="roundRect">
            <a:avLst>
              <a:gd name="adj" fmla="val 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6E255F-8E17-4F1E-AE3D-95F9C3AF5BB4}" type="TxLink">
              <a:rPr lang="en-US" sz="2400" b="1" i="0" u="none" strike="noStrike">
                <a:solidFill>
                  <a:srgbClr val="000000"/>
                </a:solidFill>
                <a:latin typeface="Aptos" panose="020B0004020202020204" pitchFamily="34" charset="0"/>
              </a:rPr>
              <a:pPr algn="l"/>
              <a:t>43</a:t>
            </a:fld>
            <a:endParaRPr lang="en-GB" sz="11500" b="1">
              <a:solidFill>
                <a:srgbClr val="FF0000"/>
              </a:solidFill>
              <a:latin typeface="Aptos" panose="020B0004020202020204" pitchFamily="34" charset="0"/>
            </a:endParaRPr>
          </a:p>
        </xdr:txBody>
      </xdr:sp>
    </xdr:grpSp>
    <xdr:clientData/>
  </xdr:twoCellAnchor>
  <xdr:twoCellAnchor>
    <xdr:from>
      <xdr:col>2</xdr:col>
      <xdr:colOff>243840</xdr:colOff>
      <xdr:row>3</xdr:row>
      <xdr:rowOff>53340</xdr:rowOff>
    </xdr:from>
    <xdr:to>
      <xdr:col>9</xdr:col>
      <xdr:colOff>358140</xdr:colOff>
      <xdr:row>17</xdr:row>
      <xdr:rowOff>129540</xdr:rowOff>
    </xdr:to>
    <xdr:graphicFrame macro="">
      <xdr:nvGraphicFramePr>
        <xdr:cNvPr id="15" name="Chart 14">
          <a:extLst>
            <a:ext uri="{FF2B5EF4-FFF2-40B4-BE49-F238E27FC236}">
              <a16:creationId xmlns:a16="http://schemas.microsoft.com/office/drawing/2014/main" id="{09D5CC67-BBBD-415E-B203-F3A94B66D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409575</xdr:colOff>
      <xdr:row>3</xdr:row>
      <xdr:rowOff>64770</xdr:rowOff>
    </xdr:from>
    <xdr:to>
      <xdr:col>15</xdr:col>
      <xdr:colOff>19050</xdr:colOff>
      <xdr:row>17</xdr:row>
      <xdr:rowOff>133350</xdr:rowOff>
    </xdr:to>
    <xdr:graphicFrame macro="">
      <xdr:nvGraphicFramePr>
        <xdr:cNvPr id="16" name="Chart 15">
          <a:extLst>
            <a:ext uri="{FF2B5EF4-FFF2-40B4-BE49-F238E27FC236}">
              <a16:creationId xmlns:a16="http://schemas.microsoft.com/office/drawing/2014/main" id="{699861E2-000E-493C-94A3-1FECF789C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249555</xdr:colOff>
      <xdr:row>18</xdr:row>
      <xdr:rowOff>9526</xdr:rowOff>
    </xdr:from>
    <xdr:to>
      <xdr:col>8</xdr:col>
      <xdr:colOff>76200</xdr:colOff>
      <xdr:row>31</xdr:row>
      <xdr:rowOff>133351</xdr:rowOff>
    </xdr:to>
    <xdr:graphicFrame macro="">
      <xdr:nvGraphicFramePr>
        <xdr:cNvPr id="17" name="Chart 16">
          <a:extLst>
            <a:ext uri="{FF2B5EF4-FFF2-40B4-BE49-F238E27FC236}">
              <a16:creationId xmlns:a16="http://schemas.microsoft.com/office/drawing/2014/main" id="{0A264DE7-682F-4069-B0C0-92ECB75F5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135254</xdr:colOff>
      <xdr:row>18</xdr:row>
      <xdr:rowOff>19050</xdr:rowOff>
    </xdr:from>
    <xdr:to>
      <xdr:col>15</xdr:col>
      <xdr:colOff>15240</xdr:colOff>
      <xdr:row>31</xdr:row>
      <xdr:rowOff>129540</xdr:rowOff>
    </xdr:to>
    <xdr:graphicFrame macro="">
      <xdr:nvGraphicFramePr>
        <xdr:cNvPr id="19" name="Chart 18">
          <a:extLst>
            <a:ext uri="{FF2B5EF4-FFF2-40B4-BE49-F238E27FC236}">
              <a16:creationId xmlns:a16="http://schemas.microsoft.com/office/drawing/2014/main" id="{C97D8052-C3DD-407A-86B2-5182A67BE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160020</xdr:colOff>
      <xdr:row>0</xdr:row>
      <xdr:rowOff>99060</xdr:rowOff>
    </xdr:from>
    <xdr:to>
      <xdr:col>3</xdr:col>
      <xdr:colOff>202467</xdr:colOff>
      <xdr:row>2</xdr:row>
      <xdr:rowOff>167640</xdr:rowOff>
    </xdr:to>
    <xdr:pic>
      <xdr:nvPicPr>
        <xdr:cNvPr id="20" name="Picture 19">
          <a:extLst>
            <a:ext uri="{FF2B5EF4-FFF2-40B4-BE49-F238E27FC236}">
              <a16:creationId xmlns:a16="http://schemas.microsoft.com/office/drawing/2014/main" id="{A3FC77B2-46DE-B053-0C75-BE2B9A20E816}"/>
            </a:ext>
          </a:extLst>
        </xdr:cNvPr>
        <xdr:cNvPicPr>
          <a:picLocks noChangeAspect="1"/>
        </xdr:cNvPicPr>
      </xdr:nvPicPr>
      <xdr:blipFill>
        <a:blip xmlns:r="http://schemas.openxmlformats.org/officeDocument/2006/relationships" r:embed="rId5"/>
        <a:stretch>
          <a:fillRect/>
        </a:stretch>
      </xdr:blipFill>
      <xdr:spPr>
        <a:xfrm>
          <a:off x="160020" y="99060"/>
          <a:ext cx="1867437" cy="441960"/>
        </a:xfrm>
        <a:prstGeom prst="rect">
          <a:avLst/>
        </a:prstGeom>
      </xdr:spPr>
    </xdr:pic>
    <xdr:clientData/>
  </xdr:twoCellAnchor>
  <xdr:twoCellAnchor editAs="oneCell">
    <xdr:from>
      <xdr:col>0</xdr:col>
      <xdr:colOff>75802</xdr:colOff>
      <xdr:row>24</xdr:row>
      <xdr:rowOff>68580</xdr:rowOff>
    </xdr:from>
    <xdr:to>
      <xdr:col>2</xdr:col>
      <xdr:colOff>209047</xdr:colOff>
      <xdr:row>26</xdr:row>
      <xdr:rowOff>121919</xdr:rowOff>
    </xdr:to>
    <xdr:pic>
      <xdr:nvPicPr>
        <xdr:cNvPr id="22" name="Picture 21">
          <a:extLst>
            <a:ext uri="{FF2B5EF4-FFF2-40B4-BE49-F238E27FC236}">
              <a16:creationId xmlns:a16="http://schemas.microsoft.com/office/drawing/2014/main" id="{84634B8C-C660-B620-781F-6504334AFBDC}"/>
            </a:ext>
          </a:extLst>
        </xdr:cNvPr>
        <xdr:cNvPicPr>
          <a:picLocks noChangeAspect="1"/>
        </xdr:cNvPicPr>
      </xdr:nvPicPr>
      <xdr:blipFill>
        <a:blip xmlns:r="http://schemas.openxmlformats.org/officeDocument/2006/relationships" r:embed="rId6"/>
        <a:stretch>
          <a:fillRect/>
        </a:stretch>
      </xdr:blipFill>
      <xdr:spPr>
        <a:xfrm>
          <a:off x="75802" y="4411980"/>
          <a:ext cx="1352445" cy="415289"/>
        </a:xfrm>
        <a:prstGeom prst="rect">
          <a:avLst/>
        </a:prstGeom>
      </xdr:spPr>
    </xdr:pic>
    <xdr:clientData/>
  </xdr:twoCellAnchor>
  <xdr:twoCellAnchor>
    <xdr:from>
      <xdr:col>0</xdr:col>
      <xdr:colOff>76200</xdr:colOff>
      <xdr:row>19</xdr:row>
      <xdr:rowOff>40005</xdr:rowOff>
    </xdr:from>
    <xdr:to>
      <xdr:col>2</xdr:col>
      <xdr:colOff>281940</xdr:colOff>
      <xdr:row>24</xdr:row>
      <xdr:rowOff>81915</xdr:rowOff>
    </xdr:to>
    <xdr:grpSp>
      <xdr:nvGrpSpPr>
        <xdr:cNvPr id="39" name="Group 38">
          <a:extLst>
            <a:ext uri="{FF2B5EF4-FFF2-40B4-BE49-F238E27FC236}">
              <a16:creationId xmlns:a16="http://schemas.microsoft.com/office/drawing/2014/main" id="{C3FE64AF-EA5B-6F5D-EF0D-AE77DDE4589A}"/>
            </a:ext>
          </a:extLst>
        </xdr:cNvPr>
        <xdr:cNvGrpSpPr/>
      </xdr:nvGrpSpPr>
      <xdr:grpSpPr>
        <a:xfrm>
          <a:off x="76200" y="3478530"/>
          <a:ext cx="1428750" cy="948690"/>
          <a:chOff x="76200" y="3524250"/>
          <a:chExt cx="1428750" cy="952500"/>
        </a:xfrm>
      </xdr:grpSpPr>
      <xdr:sp macro="" textlink="">
        <xdr:nvSpPr>
          <xdr:cNvPr id="2" name="Rectangle: Rounded Corners 1">
            <a:extLst>
              <a:ext uri="{FF2B5EF4-FFF2-40B4-BE49-F238E27FC236}">
                <a16:creationId xmlns:a16="http://schemas.microsoft.com/office/drawing/2014/main" id="{487C2F5E-0835-6C56-26EF-C1544E9C2035}"/>
              </a:ext>
            </a:extLst>
          </xdr:cNvPr>
          <xdr:cNvSpPr/>
        </xdr:nvSpPr>
        <xdr:spPr>
          <a:xfrm>
            <a:off x="85725" y="3524250"/>
            <a:ext cx="1323975" cy="876300"/>
          </a:xfrm>
          <a:prstGeom prst="roundRect">
            <a:avLst>
              <a:gd name="adj" fmla="val 6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sp macro="" textlink="">
        <xdr:nvSpPr>
          <xdr:cNvPr id="3" name="TextBox 2">
            <a:extLst>
              <a:ext uri="{FF2B5EF4-FFF2-40B4-BE49-F238E27FC236}">
                <a16:creationId xmlns:a16="http://schemas.microsoft.com/office/drawing/2014/main" id="{E720CA7C-43A6-D389-1491-4F7E1399DE1C}"/>
              </a:ext>
            </a:extLst>
          </xdr:cNvPr>
          <xdr:cNvSpPr txBox="1"/>
        </xdr:nvSpPr>
        <xdr:spPr>
          <a:xfrm>
            <a:off x="76200" y="3533775"/>
            <a:ext cx="1314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solidFill>
                  <a:schemeClr val="bg2">
                    <a:lumMod val="50000"/>
                  </a:schemeClr>
                </a:solidFill>
                <a:latin typeface="Aptos" panose="020B0004020202020204" pitchFamily="34" charset="0"/>
              </a:rPr>
              <a:t>Rejected referrals</a:t>
            </a:r>
          </a:p>
        </xdr:txBody>
      </xdr:sp>
      <xdr:sp macro="" textlink="'Refererence Table'!F4">
        <xdr:nvSpPr>
          <xdr:cNvPr id="4" name="Rectangle: Rounded Corners 3">
            <a:extLst>
              <a:ext uri="{FF2B5EF4-FFF2-40B4-BE49-F238E27FC236}">
                <a16:creationId xmlns:a16="http://schemas.microsoft.com/office/drawing/2014/main" id="{5FB59B7A-8791-7A1B-CA8C-56F3EED5AEAE}"/>
              </a:ext>
            </a:extLst>
          </xdr:cNvPr>
          <xdr:cNvSpPr/>
        </xdr:nvSpPr>
        <xdr:spPr>
          <a:xfrm>
            <a:off x="828675" y="3933825"/>
            <a:ext cx="676275" cy="542925"/>
          </a:xfrm>
          <a:prstGeom prst="roundRect">
            <a:avLst>
              <a:gd name="adj" fmla="val 67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3C90015-B908-42B4-922C-16C541926653}" type="TxLink">
              <a:rPr lang="en-US" sz="2400" b="1" i="0" u="none" strike="noStrike">
                <a:solidFill>
                  <a:srgbClr val="000000"/>
                </a:solidFill>
                <a:latin typeface="Aptos" panose="020B0004020202020204" pitchFamily="34" charset="0"/>
              </a:rPr>
              <a:t>0%</a:t>
            </a:fld>
            <a:endParaRPr lang="en-US" sz="2400" b="1" i="0" u="none" strike="noStrike">
              <a:solidFill>
                <a:srgbClr val="000000"/>
              </a:solidFill>
              <a:latin typeface="Aptos" panose="020B0004020202020204" pitchFamily="34" charset="0"/>
            </a:endParaRPr>
          </a:p>
        </xdr:txBody>
      </xdr:sp>
    </xdr:grpSp>
    <xdr:clientData/>
  </xdr:twoCellAnchor>
  <xdr:twoCellAnchor>
    <xdr:from>
      <xdr:col>3</xdr:col>
      <xdr:colOff>169545</xdr:colOff>
      <xdr:row>0</xdr:row>
      <xdr:rowOff>120015</xdr:rowOff>
    </xdr:from>
    <xdr:to>
      <xdr:col>13</xdr:col>
      <xdr:colOff>600075</xdr:colOff>
      <xdr:row>3</xdr:row>
      <xdr:rowOff>28575</xdr:rowOff>
    </xdr:to>
    <xdr:sp macro="" textlink="">
      <xdr:nvSpPr>
        <xdr:cNvPr id="18" name="TextBox 17">
          <a:extLst>
            <a:ext uri="{FF2B5EF4-FFF2-40B4-BE49-F238E27FC236}">
              <a16:creationId xmlns:a16="http://schemas.microsoft.com/office/drawing/2014/main" id="{1CA14E10-4CEF-9044-EBDA-A3483EC2BE4E}"/>
            </a:ext>
          </a:extLst>
        </xdr:cNvPr>
        <xdr:cNvSpPr txBox="1"/>
      </xdr:nvSpPr>
      <xdr:spPr>
        <a:xfrm>
          <a:off x="1998345" y="120015"/>
          <a:ext cx="6526530" cy="451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ysClr val="windowText" lastClr="000000"/>
              </a:solidFill>
              <a:latin typeface="Aptos" panose="020B0004020202020204" pitchFamily="34" charset="0"/>
            </a:rPr>
            <a:t>Evaluation and Otimisation of Orthotics Referral Pathway  2024</a:t>
          </a:r>
        </a:p>
      </xdr:txBody>
    </xdr:sp>
    <xdr:clientData/>
  </xdr:twoCellAnchor>
  <xdr:twoCellAnchor>
    <xdr:from>
      <xdr:col>9</xdr:col>
      <xdr:colOff>55245</xdr:colOff>
      <xdr:row>6</xdr:row>
      <xdr:rowOff>0</xdr:rowOff>
    </xdr:from>
    <xdr:to>
      <xdr:col>9</xdr:col>
      <xdr:colOff>158115</xdr:colOff>
      <xdr:row>6</xdr:row>
      <xdr:rowOff>104775</xdr:rowOff>
    </xdr:to>
    <xdr:sp macro="" textlink="">
      <xdr:nvSpPr>
        <xdr:cNvPr id="23" name="Rectangle 22">
          <a:extLst>
            <a:ext uri="{FF2B5EF4-FFF2-40B4-BE49-F238E27FC236}">
              <a16:creationId xmlns:a16="http://schemas.microsoft.com/office/drawing/2014/main" id="{9398D892-E3AA-F01A-475A-3E9A0D853753}"/>
            </a:ext>
          </a:extLst>
        </xdr:cNvPr>
        <xdr:cNvSpPr/>
      </xdr:nvSpPr>
      <xdr:spPr>
        <a:xfrm>
          <a:off x="5541645" y="1085850"/>
          <a:ext cx="102870" cy="104775"/>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53340</xdr:colOff>
      <xdr:row>6</xdr:row>
      <xdr:rowOff>144780</xdr:rowOff>
    </xdr:from>
    <xdr:to>
      <xdr:col>9</xdr:col>
      <xdr:colOff>161925</xdr:colOff>
      <xdr:row>7</xdr:row>
      <xdr:rowOff>68580</xdr:rowOff>
    </xdr:to>
    <xdr:sp macro="" textlink="">
      <xdr:nvSpPr>
        <xdr:cNvPr id="24" name="Rectangle 23">
          <a:extLst>
            <a:ext uri="{FF2B5EF4-FFF2-40B4-BE49-F238E27FC236}">
              <a16:creationId xmlns:a16="http://schemas.microsoft.com/office/drawing/2014/main" id="{0B40DF01-C041-24B5-5CE5-620BF81ED261}"/>
            </a:ext>
          </a:extLst>
        </xdr:cNvPr>
        <xdr:cNvSpPr/>
      </xdr:nvSpPr>
      <xdr:spPr>
        <a:xfrm>
          <a:off x="5539740" y="1230630"/>
          <a:ext cx="108585" cy="104775"/>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15</xdr:col>
      <xdr:colOff>516255</xdr:colOff>
      <xdr:row>0</xdr:row>
      <xdr:rowOff>76200</xdr:rowOff>
    </xdr:from>
    <xdr:to>
      <xdr:col>17</xdr:col>
      <xdr:colOff>434340</xdr:colOff>
      <xdr:row>2</xdr:row>
      <xdr:rowOff>136922</xdr:rowOff>
    </xdr:to>
    <xdr:pic>
      <xdr:nvPicPr>
        <xdr:cNvPr id="28" name="Picture 27">
          <a:extLst>
            <a:ext uri="{FF2B5EF4-FFF2-40B4-BE49-F238E27FC236}">
              <a16:creationId xmlns:a16="http://schemas.microsoft.com/office/drawing/2014/main" id="{97E3FFE4-17B7-095A-6857-DACD8F329433}"/>
            </a:ext>
          </a:extLst>
        </xdr:cNvPr>
        <xdr:cNvPicPr>
          <a:picLocks noChangeAspect="1"/>
        </xdr:cNvPicPr>
      </xdr:nvPicPr>
      <xdr:blipFill>
        <a:blip xmlns:r="http://schemas.openxmlformats.org/officeDocument/2006/relationships" r:embed="rId7"/>
        <a:stretch>
          <a:fillRect/>
        </a:stretch>
      </xdr:blipFill>
      <xdr:spPr>
        <a:xfrm>
          <a:off x="9660255" y="76200"/>
          <a:ext cx="1137285" cy="422672"/>
        </a:xfrm>
        <a:prstGeom prst="rect">
          <a:avLst/>
        </a:prstGeom>
      </xdr:spPr>
    </xdr:pic>
    <xdr:clientData/>
  </xdr:twoCellAnchor>
  <xdr:twoCellAnchor>
    <xdr:from>
      <xdr:col>15</xdr:col>
      <xdr:colOff>63104</xdr:colOff>
      <xdr:row>10</xdr:row>
      <xdr:rowOff>99056</xdr:rowOff>
    </xdr:from>
    <xdr:to>
      <xdr:col>18</xdr:col>
      <xdr:colOff>405765</xdr:colOff>
      <xdr:row>19</xdr:row>
      <xdr:rowOff>0</xdr:rowOff>
    </xdr:to>
    <mc:AlternateContent xmlns:mc="http://schemas.openxmlformats.org/markup-compatibility/2006">
      <mc:Choice xmlns:a14="http://schemas.microsoft.com/office/drawing/2010/main" Requires="a14">
        <xdr:graphicFrame macro="">
          <xdr:nvGraphicFramePr>
            <xdr:cNvPr id="29" name="Reason for referral">
              <a:extLst>
                <a:ext uri="{FF2B5EF4-FFF2-40B4-BE49-F238E27FC236}">
                  <a16:creationId xmlns:a16="http://schemas.microsoft.com/office/drawing/2014/main" id="{BBF44A58-0117-44E8-99D0-B8554FD67E6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ason for referral"/>
            </a:graphicData>
          </a:graphic>
        </xdr:graphicFrame>
      </mc:Choice>
      <mc:Fallback>
        <xdr:sp macro="" textlink="">
          <xdr:nvSpPr>
            <xdr:cNvPr id="0" name=""/>
            <xdr:cNvSpPr>
              <a:spLocks noTextEdit="1"/>
            </xdr:cNvSpPr>
          </xdr:nvSpPr>
          <xdr:spPr>
            <a:xfrm>
              <a:off x="9203294" y="1904996"/>
              <a:ext cx="2171461" cy="15335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15</xdr:col>
      <xdr:colOff>66675</xdr:colOff>
      <xdr:row>0</xdr:row>
      <xdr:rowOff>49530</xdr:rowOff>
    </xdr:from>
    <xdr:to>
      <xdr:col>18</xdr:col>
      <xdr:colOff>390524</xdr:colOff>
      <xdr:row>10</xdr:row>
      <xdr:rowOff>17145</xdr:rowOff>
    </xdr:to>
    <mc:AlternateContent xmlns:mc="http://schemas.openxmlformats.org/markup-compatibility/2006">
      <mc:Choice xmlns:a14="http://schemas.microsoft.com/office/drawing/2010/main" Requires="a14">
        <xdr:graphicFrame macro="">
          <xdr:nvGraphicFramePr>
            <xdr:cNvPr id="30" name="Referring Therapist">
              <a:extLst>
                <a:ext uri="{FF2B5EF4-FFF2-40B4-BE49-F238E27FC236}">
                  <a16:creationId xmlns:a16="http://schemas.microsoft.com/office/drawing/2014/main" id="{FAF0D577-80E4-44BC-8ECA-49CB2F483C56}"/>
                </a:ext>
              </a:extLst>
            </xdr:cNvPr>
            <xdr:cNvGraphicFramePr/>
          </xdr:nvGraphicFramePr>
          <xdr:xfrm>
            <a:off x="0" y="0"/>
            <a:ext cx="0" cy="0"/>
          </xdr:xfrm>
          <a:graphic>
            <a:graphicData uri="http://schemas.microsoft.com/office/drawing/2010/slicer">
              <sle:slicer xmlns:sle="http://schemas.microsoft.com/office/drawing/2010/slicer" name="Referring Therapist"/>
            </a:graphicData>
          </a:graphic>
        </xdr:graphicFrame>
      </mc:Choice>
      <mc:Fallback>
        <xdr:sp macro="" textlink="">
          <xdr:nvSpPr>
            <xdr:cNvPr id="0" name=""/>
            <xdr:cNvSpPr>
              <a:spLocks noTextEdit="1"/>
            </xdr:cNvSpPr>
          </xdr:nvSpPr>
          <xdr:spPr>
            <a:xfrm>
              <a:off x="9208770" y="53340"/>
              <a:ext cx="2156459" cy="17773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64770</xdr:colOff>
      <xdr:row>19</xdr:row>
      <xdr:rowOff>62865</xdr:rowOff>
    </xdr:from>
    <xdr:to>
      <xdr:col>18</xdr:col>
      <xdr:colOff>400050</xdr:colOff>
      <xdr:row>31</xdr:row>
      <xdr:rowOff>123825</xdr:rowOff>
    </xdr:to>
    <mc:AlternateContent xmlns:mc="http://schemas.openxmlformats.org/markup-compatibility/2006">
      <mc:Choice xmlns:a14="http://schemas.microsoft.com/office/drawing/2010/main" Requires="a14">
        <xdr:graphicFrame macro="">
          <xdr:nvGraphicFramePr>
            <xdr:cNvPr id="32" name="Class">
              <a:extLst>
                <a:ext uri="{FF2B5EF4-FFF2-40B4-BE49-F238E27FC236}">
                  <a16:creationId xmlns:a16="http://schemas.microsoft.com/office/drawing/2014/main" id="{0D98FEDD-8B48-40C5-8921-B38049C34CFB}"/>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9206865" y="3497580"/>
              <a:ext cx="2162175" cy="2238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131447</xdr:colOff>
      <xdr:row>0</xdr:row>
      <xdr:rowOff>104775</xdr:rowOff>
    </xdr:from>
    <xdr:to>
      <xdr:col>15</xdr:col>
      <xdr:colOff>13238</xdr:colOff>
      <xdr:row>2</xdr:row>
      <xdr:rowOff>142875</xdr:rowOff>
    </xdr:to>
    <xdr:pic>
      <xdr:nvPicPr>
        <xdr:cNvPr id="33" name="Picture 32">
          <a:extLst>
            <a:ext uri="{FF2B5EF4-FFF2-40B4-BE49-F238E27FC236}">
              <a16:creationId xmlns:a16="http://schemas.microsoft.com/office/drawing/2014/main" id="{1589962B-7414-69BE-E6DF-877F21C6BB2C}"/>
            </a:ext>
          </a:extLst>
        </xdr:cNvPr>
        <xdr:cNvPicPr>
          <a:picLocks noChangeAspect="1"/>
        </xdr:cNvPicPr>
      </xdr:nvPicPr>
      <xdr:blipFill>
        <a:blip xmlns:r="http://schemas.openxmlformats.org/officeDocument/2006/relationships" r:embed="rId7"/>
        <a:stretch>
          <a:fillRect/>
        </a:stretch>
      </xdr:blipFill>
      <xdr:spPr>
        <a:xfrm>
          <a:off x="8056247" y="104775"/>
          <a:ext cx="1100991" cy="400050"/>
        </a:xfrm>
        <a:prstGeom prst="rect">
          <a:avLst/>
        </a:prstGeom>
      </xdr:spPr>
    </xdr:pic>
    <xdr:clientData/>
  </xdr:twoCellAnchor>
  <xdr:twoCellAnchor>
    <xdr:from>
      <xdr:col>0</xdr:col>
      <xdr:colOff>76200</xdr:colOff>
      <xdr:row>27</xdr:row>
      <xdr:rowOff>0</xdr:rowOff>
    </xdr:from>
    <xdr:to>
      <xdr:col>2</xdr:col>
      <xdr:colOff>190500</xdr:colOff>
      <xdr:row>31</xdr:row>
      <xdr:rowOff>133350</xdr:rowOff>
    </xdr:to>
    <xdr:sp macro="" textlink="">
      <xdr:nvSpPr>
        <xdr:cNvPr id="34" name="Rectangle: Rounded Corners 33">
          <a:extLst>
            <a:ext uri="{FF2B5EF4-FFF2-40B4-BE49-F238E27FC236}">
              <a16:creationId xmlns:a16="http://schemas.microsoft.com/office/drawing/2014/main" id="{26D6E2E0-CDE3-A0E7-E71A-C8964F3895CF}"/>
            </a:ext>
          </a:extLst>
        </xdr:cNvPr>
        <xdr:cNvSpPr/>
      </xdr:nvSpPr>
      <xdr:spPr>
        <a:xfrm>
          <a:off x="76200" y="4886325"/>
          <a:ext cx="1333500" cy="857250"/>
        </a:xfrm>
        <a:prstGeom prst="roundRect">
          <a:avLst>
            <a:gd name="adj" fmla="val 67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0000"/>
            </a:solidFill>
          </a:endParaRPr>
        </a:p>
      </xdr:txBody>
    </xdr:sp>
    <xdr:clientData/>
  </xdr:twoCellAnchor>
  <xdr:twoCellAnchor>
    <xdr:from>
      <xdr:col>0</xdr:col>
      <xdr:colOff>419100</xdr:colOff>
      <xdr:row>30</xdr:row>
      <xdr:rowOff>45722</xdr:rowOff>
    </xdr:from>
    <xdr:to>
      <xdr:col>2</xdr:col>
      <xdr:colOff>354331</xdr:colOff>
      <xdr:row>31</xdr:row>
      <xdr:rowOff>150497</xdr:rowOff>
    </xdr:to>
    <xdr:sp macro="" textlink="">
      <xdr:nvSpPr>
        <xdr:cNvPr id="35" name="TextBox 34">
          <a:extLst>
            <a:ext uri="{FF2B5EF4-FFF2-40B4-BE49-F238E27FC236}">
              <a16:creationId xmlns:a16="http://schemas.microsoft.com/office/drawing/2014/main" id="{7E8F1AA6-48DE-8585-08E2-001EEB2232EE}"/>
            </a:ext>
          </a:extLst>
        </xdr:cNvPr>
        <xdr:cNvSpPr txBox="1"/>
      </xdr:nvSpPr>
      <xdr:spPr>
        <a:xfrm>
          <a:off x="419100" y="5474972"/>
          <a:ext cx="115443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a:solidFill>
                <a:schemeClr val="bg2">
                  <a:lumMod val="50000"/>
                </a:schemeClr>
              </a:solidFill>
              <a:latin typeface="Aptos" panose="020B0004020202020204" pitchFamily="34" charset="0"/>
            </a:rPr>
            <a:t>2025</a:t>
          </a:r>
          <a:r>
            <a:rPr lang="en-GB" sz="1100" b="1" baseline="0">
              <a:solidFill>
                <a:schemeClr val="bg2">
                  <a:lumMod val="50000"/>
                </a:schemeClr>
              </a:solidFill>
              <a:latin typeface="Aptos" panose="020B0004020202020204" pitchFamily="34" charset="0"/>
            </a:rPr>
            <a:t> Results</a:t>
          </a:r>
          <a:endParaRPr lang="en-GB" sz="1100" b="1">
            <a:solidFill>
              <a:schemeClr val="bg2">
                <a:lumMod val="50000"/>
              </a:schemeClr>
            </a:solidFill>
            <a:latin typeface="Aptos" panose="020B0004020202020204" pitchFamily="34" charset="0"/>
          </a:endParaRPr>
        </a:p>
      </xdr:txBody>
    </xdr:sp>
    <xdr:clientData/>
  </xdr:twoCellAnchor>
  <xdr:twoCellAnchor>
    <xdr:from>
      <xdr:col>0</xdr:col>
      <xdr:colOff>281940</xdr:colOff>
      <xdr:row>27</xdr:row>
      <xdr:rowOff>163830</xdr:rowOff>
    </xdr:from>
    <xdr:to>
      <xdr:col>2</xdr:col>
      <xdr:colOff>0</xdr:colOff>
      <xdr:row>30</xdr:row>
      <xdr:rowOff>28575</xdr:rowOff>
    </xdr:to>
    <xdr:sp macro="" textlink="">
      <xdr:nvSpPr>
        <xdr:cNvPr id="40" name="Arrow: Right 39">
          <a:extLst>
            <a:ext uri="{FF2B5EF4-FFF2-40B4-BE49-F238E27FC236}">
              <a16:creationId xmlns:a16="http://schemas.microsoft.com/office/drawing/2014/main" id="{861B791A-F8F4-B643-AD58-20607BA6A614}"/>
            </a:ext>
          </a:extLst>
        </xdr:cNvPr>
        <xdr:cNvSpPr/>
      </xdr:nvSpPr>
      <xdr:spPr>
        <a:xfrm>
          <a:off x="281940" y="5050155"/>
          <a:ext cx="937260" cy="40767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0.00132</cdr:x>
      <cdr:y>0.00278</cdr:y>
    </cdr:from>
    <cdr:to>
      <cdr:x>0.40951</cdr:x>
      <cdr:y>0.12925</cdr:y>
    </cdr:to>
    <cdr:sp macro="" textlink="">
      <cdr:nvSpPr>
        <cdr:cNvPr id="2" name="Rectangle 1">
          <a:extLst xmlns:a="http://schemas.openxmlformats.org/drawingml/2006/main">
            <a:ext uri="{FF2B5EF4-FFF2-40B4-BE49-F238E27FC236}">
              <a16:creationId xmlns:a16="http://schemas.microsoft.com/office/drawing/2014/main" id="{2581F07A-7CAE-F01B-0FB6-353272B691AB}"/>
            </a:ext>
          </a:extLst>
        </cdr:cNvPr>
        <cdr:cNvSpPr/>
      </cdr:nvSpPr>
      <cdr:spPr>
        <a:xfrm xmlns:a="http://schemas.openxmlformats.org/drawingml/2006/main">
          <a:off x="7620" y="6222"/>
          <a:ext cx="2354580" cy="283337"/>
        </a:xfrm>
        <a:prstGeom xmlns:a="http://schemas.openxmlformats.org/drawingml/2006/main" prst="rect">
          <a:avLst/>
        </a:prstGeom>
        <a:solidFill xmlns:a="http://schemas.openxmlformats.org/drawingml/2006/main">
          <a:sysClr val="window" lastClr="FFFFFF"/>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GB" kern="1200">
            <a:ln>
              <a:noFill/>
            </a:ln>
          </a:endParaRPr>
        </a:p>
      </cdr:txBody>
    </cdr:sp>
  </cdr:relSizeAnchor>
  <cdr:relSizeAnchor xmlns:cdr="http://schemas.openxmlformats.org/drawingml/2006/chartDrawing">
    <cdr:from>
      <cdr:x>0.50458</cdr:x>
      <cdr:y>0.21823</cdr:y>
    </cdr:from>
    <cdr:to>
      <cdr:x>0.97826</cdr:x>
      <cdr:y>0.33331</cdr:y>
    </cdr:to>
    <cdr:sp macro="" textlink="">
      <cdr:nvSpPr>
        <cdr:cNvPr id="3" name="TextBox 2">
          <a:extLst xmlns:a="http://schemas.openxmlformats.org/drawingml/2006/main">
            <a:ext uri="{FF2B5EF4-FFF2-40B4-BE49-F238E27FC236}">
              <a16:creationId xmlns:a16="http://schemas.microsoft.com/office/drawing/2014/main" id="{9568A09B-1C22-B3C0-AD21-2B31BEDE0A14}"/>
            </a:ext>
          </a:extLst>
        </cdr:cNvPr>
        <cdr:cNvSpPr txBox="1"/>
      </cdr:nvSpPr>
      <cdr:spPr>
        <a:xfrm xmlns:a="http://schemas.openxmlformats.org/drawingml/2006/main">
          <a:off x="2210831" y="569545"/>
          <a:ext cx="2075419" cy="3003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a:solidFill>
                <a:schemeClr val="bg2">
                  <a:lumMod val="50000"/>
                </a:schemeClr>
              </a:solidFill>
            </a:rPr>
            <a:t>Wait times for GP  to Process Referral</a:t>
          </a:r>
        </a:p>
      </cdr:txBody>
    </cdr:sp>
  </cdr:relSizeAnchor>
  <cdr:relSizeAnchor xmlns:cdr="http://schemas.openxmlformats.org/drawingml/2006/chartDrawing">
    <cdr:from>
      <cdr:x>0.46087</cdr:x>
      <cdr:y>0.15935</cdr:y>
    </cdr:from>
    <cdr:to>
      <cdr:x>0.94348</cdr:x>
      <cdr:y>0.25974</cdr:y>
    </cdr:to>
    <cdr:sp macro="" textlink="">
      <cdr:nvSpPr>
        <cdr:cNvPr id="4" name="TextBox 3">
          <a:extLst xmlns:a="http://schemas.openxmlformats.org/drawingml/2006/main">
            <a:ext uri="{FF2B5EF4-FFF2-40B4-BE49-F238E27FC236}">
              <a16:creationId xmlns:a16="http://schemas.microsoft.com/office/drawing/2014/main" id="{E48715F5-957C-7700-D54A-6CFF6D476D26}"/>
            </a:ext>
          </a:extLst>
        </cdr:cNvPr>
        <cdr:cNvSpPr txBox="1"/>
      </cdr:nvSpPr>
      <cdr:spPr>
        <a:xfrm xmlns:a="http://schemas.openxmlformats.org/drawingml/2006/main">
          <a:off x="2019301" y="415874"/>
          <a:ext cx="2114550" cy="2620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b="0" kern="1200">
              <a:solidFill>
                <a:schemeClr val="bg2">
                  <a:lumMod val="50000"/>
                </a:schemeClr>
              </a:solidFill>
              <a:latin typeface="+mn-lt"/>
            </a:rPr>
            <a:t>Wait times for Orthotic initial assessment</a:t>
          </a:r>
        </a:p>
      </cdr:txBody>
    </cdr:sp>
  </cdr:relSizeAnchor>
  <cdr:relSizeAnchor xmlns:cdr="http://schemas.openxmlformats.org/drawingml/2006/chartDrawing">
    <cdr:from>
      <cdr:x>0</cdr:x>
      <cdr:y>0</cdr:y>
    </cdr:from>
    <cdr:to>
      <cdr:x>0.5413</cdr:x>
      <cdr:y>0.11389</cdr:y>
    </cdr:to>
    <cdr:sp macro="" textlink="">
      <cdr:nvSpPr>
        <cdr:cNvPr id="5" name="TextBox 4">
          <a:extLst xmlns:a="http://schemas.openxmlformats.org/drawingml/2006/main">
            <a:ext uri="{FF2B5EF4-FFF2-40B4-BE49-F238E27FC236}">
              <a16:creationId xmlns:a16="http://schemas.microsoft.com/office/drawing/2014/main" id="{E64189BB-DD23-1D75-121A-8EEA59293E57}"/>
            </a:ext>
          </a:extLst>
        </cdr:cNvPr>
        <cdr:cNvSpPr txBox="1"/>
      </cdr:nvSpPr>
      <cdr:spPr>
        <a:xfrm xmlns:a="http://schemas.openxmlformats.org/drawingml/2006/main">
          <a:off x="0" y="0"/>
          <a:ext cx="2371725" cy="2972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kern="1200">
              <a:solidFill>
                <a:schemeClr val="bg2">
                  <a:lumMod val="50000"/>
                </a:schemeClr>
              </a:solidFill>
              <a:latin typeface="Aptos" panose="020B0004020202020204" pitchFamily="34" charset="0"/>
            </a:rPr>
            <a:t>Wait Times in days |</a:t>
          </a:r>
          <a:r>
            <a:rPr lang="en-GB" sz="1100" b="1" kern="1200" baseline="0">
              <a:solidFill>
                <a:schemeClr val="bg2">
                  <a:lumMod val="50000"/>
                </a:schemeClr>
              </a:solidFill>
              <a:latin typeface="Aptos" panose="020B0004020202020204" pitchFamily="34" charset="0"/>
            </a:rPr>
            <a:t> each referral</a:t>
          </a:r>
          <a:endParaRPr lang="en-GB" sz="1100" b="1" kern="1200">
            <a:solidFill>
              <a:schemeClr val="bg2">
                <a:lumMod val="50000"/>
              </a:schemeClr>
            </a:solidFill>
            <a:latin typeface="Aptos" panose="020B00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0.00845</cdr:x>
      <cdr:y>0</cdr:y>
    </cdr:from>
    <cdr:to>
      <cdr:x>0.42396</cdr:x>
      <cdr:y>0.12683</cdr:y>
    </cdr:to>
    <cdr:sp macro="" textlink="">
      <cdr:nvSpPr>
        <cdr:cNvPr id="2" name="TextBox 1">
          <a:extLst xmlns:a="http://schemas.openxmlformats.org/drawingml/2006/main">
            <a:ext uri="{FF2B5EF4-FFF2-40B4-BE49-F238E27FC236}">
              <a16:creationId xmlns:a16="http://schemas.microsoft.com/office/drawing/2014/main" id="{1F5D838A-36EB-6699-902C-FF10AF466A51}"/>
            </a:ext>
          </a:extLst>
        </cdr:cNvPr>
        <cdr:cNvSpPr txBox="1"/>
      </cdr:nvSpPr>
      <cdr:spPr>
        <a:xfrm xmlns:a="http://schemas.openxmlformats.org/drawingml/2006/main">
          <a:off x="27940" y="0"/>
          <a:ext cx="1374140" cy="2503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kern="1200">
              <a:solidFill>
                <a:schemeClr val="bg2">
                  <a:lumMod val="50000"/>
                </a:schemeClr>
              </a:solidFill>
              <a:latin typeface="Aptos" panose="020B0004020202020204" pitchFamily="34" charset="0"/>
            </a:rPr>
            <a:t>Reason for referral</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0.00253</cdr:y>
    </cdr:from>
    <cdr:to>
      <cdr:x>0.41962</cdr:x>
      <cdr:y>0.11742</cdr:y>
    </cdr:to>
    <cdr:sp macro="" textlink="">
      <cdr:nvSpPr>
        <cdr:cNvPr id="2" name="Rectangle 1">
          <a:extLst xmlns:a="http://schemas.openxmlformats.org/drawingml/2006/main">
            <a:ext uri="{FF2B5EF4-FFF2-40B4-BE49-F238E27FC236}">
              <a16:creationId xmlns:a16="http://schemas.microsoft.com/office/drawing/2014/main" id="{E9CA6A14-D4DC-D4DB-7354-13357C3F3C69}"/>
            </a:ext>
          </a:extLst>
        </cdr:cNvPr>
        <cdr:cNvSpPr/>
      </cdr:nvSpPr>
      <cdr:spPr>
        <a:xfrm xmlns:a="http://schemas.openxmlformats.org/drawingml/2006/main">
          <a:off x="0" y="5081"/>
          <a:ext cx="1173480" cy="23114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GB" kern="1200">
            <a:ln>
              <a:noFill/>
            </a:ln>
          </a:endParaRPr>
        </a:p>
      </cdr:txBody>
    </cdr:sp>
  </cdr:relSizeAnchor>
  <cdr:relSizeAnchor xmlns:cdr="http://schemas.openxmlformats.org/drawingml/2006/chartDrawing">
    <cdr:from>
      <cdr:x>0</cdr:x>
      <cdr:y>0</cdr:y>
    </cdr:from>
    <cdr:to>
      <cdr:x>0.396</cdr:x>
      <cdr:y>0.12683</cdr:y>
    </cdr:to>
    <cdr:sp macro="" textlink="">
      <cdr:nvSpPr>
        <cdr:cNvPr id="3" name="TextBox 1">
          <a:extLst xmlns:a="http://schemas.openxmlformats.org/drawingml/2006/main">
            <a:ext uri="{FF2B5EF4-FFF2-40B4-BE49-F238E27FC236}">
              <a16:creationId xmlns:a16="http://schemas.microsoft.com/office/drawing/2014/main" id="{2DC5245E-C987-BB81-C19D-A3646D56174A}"/>
            </a:ext>
          </a:extLst>
        </cdr:cNvPr>
        <cdr:cNvSpPr txBox="1"/>
      </cdr:nvSpPr>
      <cdr:spPr>
        <a:xfrm xmlns:a="http://schemas.openxmlformats.org/drawingml/2006/main">
          <a:off x="0" y="0"/>
          <a:ext cx="1107440" cy="2551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kern="1200">
              <a:solidFill>
                <a:schemeClr val="bg2">
                  <a:lumMod val="50000"/>
                </a:schemeClr>
              </a:solidFill>
              <a:latin typeface="Aptos" panose="020B0004020202020204" pitchFamily="34" charset="0"/>
            </a:rPr>
            <a:t>Orthotic Type</a:t>
          </a:r>
        </a:p>
      </cdr:txBody>
    </cdr:sp>
  </cdr:relSizeAnchor>
</c:userShapes>
</file>

<file path=xl/drawings/drawing5.xml><?xml version="1.0" encoding="utf-8"?>
<c:userShapes xmlns:c="http://schemas.openxmlformats.org/drawingml/2006/chart">
  <cdr:relSizeAnchor xmlns:cdr="http://schemas.openxmlformats.org/drawingml/2006/chartDrawing">
    <cdr:from>
      <cdr:x>0.5646</cdr:x>
      <cdr:y>0.00572</cdr:y>
    </cdr:from>
    <cdr:to>
      <cdr:x>0.97255</cdr:x>
      <cdr:y>0.14712</cdr:y>
    </cdr:to>
    <cdr:sp macro="" textlink="">
      <cdr:nvSpPr>
        <cdr:cNvPr id="3" name="TextBox 1">
          <a:extLst xmlns:a="http://schemas.openxmlformats.org/drawingml/2006/main">
            <a:ext uri="{FF2B5EF4-FFF2-40B4-BE49-F238E27FC236}">
              <a16:creationId xmlns:a16="http://schemas.microsoft.com/office/drawing/2014/main" id="{E2526C5A-AD5D-A927-D0D8-B07A10DEA422}"/>
            </a:ext>
          </a:extLst>
        </cdr:cNvPr>
        <cdr:cNvSpPr txBox="1"/>
      </cdr:nvSpPr>
      <cdr:spPr>
        <a:xfrm xmlns:a="http://schemas.openxmlformats.org/drawingml/2006/main">
          <a:off x="1567103" y="14889"/>
          <a:ext cx="1132283" cy="368241"/>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100" b="1" kern="1200">
              <a:solidFill>
                <a:schemeClr val="bg1"/>
              </a:solidFill>
              <a:latin typeface="Aptos" panose="020B0004020202020204" pitchFamily="34" charset="0"/>
            </a:rPr>
            <a:t>Referring Therapist</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 Riley" refreshedDate="46199.770253125003" createdVersion="8" refreshedVersion="8" minRefreshableVersion="3" recordCount="20" xr:uid="{65670502-87B8-40D8-B09C-A366EEF80EDC}">
  <cacheSource type="worksheet">
    <worksheetSource name="Table1"/>
  </cacheSource>
  <cacheFields count="18">
    <cacheField name="Referral number" numFmtId="0">
      <sharedItems containsSemiMixedTypes="0" containsString="0" containsNumber="1" containsInteger="1" minValue="1" maxValue="20" count="20">
        <n v="1"/>
        <n v="2"/>
        <n v="3"/>
        <n v="4"/>
        <n v="5"/>
        <n v="6"/>
        <n v="7"/>
        <n v="8"/>
        <n v="9"/>
        <n v="10"/>
        <n v="11"/>
        <n v="12"/>
        <n v="13"/>
        <n v="14"/>
        <n v="15"/>
        <n v="16"/>
        <n v="17"/>
        <n v="18"/>
        <n v="19"/>
        <n v="20"/>
      </sharedItems>
    </cacheField>
    <cacheField name="NHS Number" numFmtId="0">
      <sharedItems/>
    </cacheField>
    <cacheField name="Patient Initials" numFmtId="0">
      <sharedItems/>
    </cacheField>
    <cacheField name="Class Code" numFmtId="1">
      <sharedItems containsSemiMixedTypes="0" containsString="0" containsNumber="1" containsInteger="1" minValue="2" maxValue="8"/>
    </cacheField>
    <cacheField name="Class" numFmtId="0">
      <sharedItems count="6">
        <s v="Orthotic - Foot"/>
        <s v="Shoe Raise"/>
        <s v="Orthotic - Knee"/>
        <s v="Footwear"/>
        <s v="Orthotic - Arm"/>
        <s v="Orthotic - Wrist"/>
      </sharedItems>
    </cacheField>
    <cacheField name="Problem" numFmtId="0">
      <sharedItems/>
    </cacheField>
    <cacheField name="Reason for referral" numFmtId="0">
      <sharedItems count="4">
        <s v="Weakness/Instability"/>
        <s v="Leg length Descrepancy"/>
        <s v="Osteoarthritis"/>
        <s v="Pain"/>
      </sharedItems>
    </cacheField>
    <cacheField name="Referring Therapist" numFmtId="0">
      <sharedItems count="5">
        <s v="Marc Riley"/>
        <s v="Rachel Wilkinson"/>
        <s v="Stephanie Miles"/>
        <s v="Dylan Devlin"/>
        <s v="Olivia Davies"/>
      </sharedItems>
    </cacheField>
    <cacheField name="Request  sent to GP Date" numFmtId="14">
      <sharedItems containsSemiMixedTypes="0" containsNonDate="0" containsDate="1" containsString="0" minDate="2024-06-03T00:00:00" maxDate="2024-08-26T00:00:00" count="20">
        <d v="2024-06-03T00:00:00"/>
        <d v="2024-06-05T00:00:00"/>
        <d v="2024-06-11T00:00:00"/>
        <d v="2024-06-14T00:00:00"/>
        <d v="2024-06-18T00:00:00"/>
        <d v="2024-06-20T00:00:00"/>
        <d v="2024-06-22T00:00:00"/>
        <d v="2024-07-01T00:00:00"/>
        <d v="2024-07-03T00:00:00"/>
        <d v="2024-07-07T00:00:00"/>
        <d v="2024-07-10T00:00:00"/>
        <d v="2024-07-15T00:00:00"/>
        <d v="2024-07-18T00:00:00"/>
        <d v="2024-07-22T00:00:00"/>
        <d v="2024-08-01T00:00:00"/>
        <d v="2024-08-05T00:00:00"/>
        <d v="2024-08-10T00:00:00"/>
        <d v="2024-08-15T00:00:00"/>
        <d v="2024-08-20T00:00:00"/>
        <d v="2024-08-25T00:00:00"/>
      </sharedItems>
      <fieldGroup par="17"/>
    </cacheField>
    <cacheField name="Interval GP/Orthotics WD" numFmtId="1">
      <sharedItems containsSemiMixedTypes="0" containsString="0" containsNumber="1" containsInteger="1" minValue="1" maxValue="15"/>
    </cacheField>
    <cacheField name="GP  referral to Orthotics Date" numFmtId="14">
      <sharedItems containsSemiMixedTypes="0" containsNonDate="0" containsDate="1" containsString="0" minDate="2024-06-12T00:00:00" maxDate="2024-09-11T00:00:00"/>
    </cacheField>
    <cacheField name="Interval Orthotics to Initial assessment WD" numFmtId="1">
      <sharedItems containsSemiMixedTypes="0" containsString="0" containsNumber="1" containsInteger="1" minValue="26" maxValue="39"/>
    </cacheField>
    <cacheField name="Initial assessment date Date" numFmtId="14">
      <sharedItems containsSemiMixedTypes="0" containsNonDate="0" containsDate="1" containsString="0" minDate="2024-07-20T00:00:00" maxDate="2024-11-02T00:00:00"/>
    </cacheField>
    <cacheField name="Total Pathway WD" numFmtId="1">
      <sharedItems containsSemiMixedTypes="0" containsString="0" containsNumber="1" containsInteger="1" minValue="26" maxValue="50"/>
    </cacheField>
    <cacheField name="Outcome" numFmtId="1">
      <sharedItems count="2">
        <s v="Accepted"/>
        <s v="Rejected" u="1"/>
      </sharedItems>
    </cacheField>
    <cacheField name="Notes" numFmtId="0">
      <sharedItems/>
    </cacheField>
    <cacheField name="Days (Request  sent to GP Date)" numFmtId="0" databaseField="0">
      <fieldGroup base="8">
        <rangePr groupBy="days" startDate="2024-06-03T00:00:00" endDate="2024-08-26T00:00:00"/>
        <groupItems count="368">
          <s v="&lt;03/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8/2024"/>
        </groupItems>
      </fieldGroup>
    </cacheField>
    <cacheField name="Months (Request  sent to GP Date)" numFmtId="0" databaseField="0">
      <fieldGroup base="8">
        <rangePr groupBy="months" startDate="2024-06-03T00:00:00" endDate="2024-08-26T00:00:00"/>
        <groupItems count="14">
          <s v="&lt;03/06/2024"/>
          <s v="Jan"/>
          <s v="Feb"/>
          <s v="Mar"/>
          <s v="Apr"/>
          <s v="May"/>
          <s v="Jun"/>
          <s v="Jul"/>
          <s v="Aug"/>
          <s v="Sep"/>
          <s v="Oct"/>
          <s v="Nov"/>
          <s v="Dec"/>
          <s v="&gt;26/08/2024"/>
        </groupItems>
      </fieldGroup>
    </cacheField>
  </cacheFields>
  <extLst>
    <ext xmlns:x14="http://schemas.microsoft.com/office/spreadsheetml/2009/9/main" uri="{725AE2AE-9491-48be-B2B4-4EB974FC3084}">
      <x14:pivotCacheDefinition pivotCacheId="1002699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466 250 4236"/>
    <s v="SI"/>
    <n v="6"/>
    <x v="0"/>
    <s v="Review of AFO"/>
    <x v="0"/>
    <x v="0"/>
    <x v="0"/>
    <n v="8"/>
    <d v="2024-06-12T00:00:00"/>
    <n v="33"/>
    <d v="2024-07-28T00:00:00"/>
    <n v="40"/>
    <x v="0"/>
    <s v="Provided AFO"/>
  </r>
  <r>
    <x v="1"/>
    <s v="490 753 1966"/>
    <s v="JP"/>
    <n v="8"/>
    <x v="1"/>
    <s v="LLD"/>
    <x v="1"/>
    <x v="0"/>
    <x v="1"/>
    <n v="11"/>
    <d v="2024-06-19T00:00:00"/>
    <n v="30"/>
    <d v="2024-07-30T00:00:00"/>
    <n v="40"/>
    <x v="0"/>
    <s v="Cancelled – no contact"/>
  </r>
  <r>
    <x v="2"/>
    <s v="482 751 6383"/>
    <s v="NB"/>
    <n v="5"/>
    <x v="2"/>
    <s v="Varus deformity"/>
    <x v="2"/>
    <x v="1"/>
    <x v="2"/>
    <n v="11"/>
    <d v="2024-06-25T00:00:00"/>
    <n v="30"/>
    <d v="2024-08-05T00:00:00"/>
    <n v="40"/>
    <x v="0"/>
    <s v="Provided brace"/>
  </r>
  <r>
    <x v="3"/>
    <s v="612 773 1364"/>
    <s v="TK"/>
    <n v="8"/>
    <x v="1"/>
    <s v="LLD"/>
    <x v="1"/>
    <x v="2"/>
    <x v="3"/>
    <n v="1"/>
    <d v="2024-06-14T00:00:00"/>
    <n v="26"/>
    <d v="2024-07-20T00:00:00"/>
    <n v="26"/>
    <x v="0"/>
    <s v="Did not bring shoe"/>
  </r>
  <r>
    <x v="4"/>
    <s v="470 784 3018"/>
    <s v="JG"/>
    <n v="5"/>
    <x v="2"/>
    <s v="Varus knee"/>
    <x v="2"/>
    <x v="0"/>
    <x v="4"/>
    <n v="10"/>
    <d v="2024-07-01T00:00:00"/>
    <n v="30"/>
    <d v="2024-08-10T00:00:00"/>
    <n v="39"/>
    <x v="0"/>
    <s v="Provided brace"/>
  </r>
  <r>
    <x v="5"/>
    <s v="460 606 9937"/>
    <s v="AR"/>
    <n v="7"/>
    <x v="3"/>
    <s v="Footwear"/>
    <x v="0"/>
    <x v="3"/>
    <x v="5"/>
    <n v="10"/>
    <d v="2024-07-03T00:00:00"/>
    <n v="32"/>
    <d v="2024-08-15T00:00:00"/>
    <n v="41"/>
    <x v="0"/>
    <s v="Cancelled – surgery"/>
  </r>
  <r>
    <x v="6"/>
    <s v="470 060 6991"/>
    <s v="MW"/>
    <n v="6"/>
    <x v="0"/>
    <s v="Foot orthotic"/>
    <x v="0"/>
    <x v="0"/>
    <x v="6"/>
    <n v="13"/>
    <d v="2024-07-10T00:00:00"/>
    <n v="33"/>
    <d v="2024-08-25T00:00:00"/>
    <n v="45"/>
    <x v="0"/>
    <s v="DNA"/>
  </r>
  <r>
    <x v="7"/>
    <s v="466 250 4236"/>
    <s v="SI"/>
    <n v="2"/>
    <x v="4"/>
    <s v="Collar &amp; cuff"/>
    <x v="0"/>
    <x v="0"/>
    <x v="7"/>
    <n v="7"/>
    <d v="2024-07-09T00:00:00"/>
    <n v="31"/>
    <d v="2024-08-20T00:00:00"/>
    <n v="37"/>
    <x v="0"/>
    <s v="Provided collar"/>
  </r>
  <r>
    <x v="8"/>
    <s v="498 220 1345"/>
    <s v="LM"/>
    <n v="8"/>
    <x v="1"/>
    <s v="LLD"/>
    <x v="1"/>
    <x v="2"/>
    <x v="8"/>
    <n v="11"/>
    <d v="2024-07-17T00:00:00"/>
    <n v="32"/>
    <d v="2024-08-29T00:00:00"/>
    <n v="42"/>
    <x v="0"/>
    <s v="Provided raise"/>
  </r>
  <r>
    <x v="9"/>
    <s v="502 118 7744"/>
    <s v="GH"/>
    <n v="6"/>
    <x v="0"/>
    <s v="AFO review"/>
    <x v="0"/>
    <x v="0"/>
    <x v="9"/>
    <n v="9"/>
    <d v="2024-07-18T00:00:00"/>
    <n v="32"/>
    <d v="2024-09-01T00:00:00"/>
    <n v="40"/>
    <x v="0"/>
    <s v="Provided AFO"/>
  </r>
  <r>
    <x v="10"/>
    <s v="509 331 8822"/>
    <s v="AB"/>
    <n v="3"/>
    <x v="5"/>
    <s v="Wrist pain"/>
    <x v="3"/>
    <x v="1"/>
    <x v="10"/>
    <n v="12"/>
    <d v="2024-07-25T00:00:00"/>
    <n v="29"/>
    <d v="2024-09-03T00:00:00"/>
    <n v="40"/>
    <x v="0"/>
    <s v="Wrong referral class"/>
  </r>
  <r>
    <x v="11"/>
    <s v="477 221 0044"/>
    <s v="CD"/>
    <n v="8"/>
    <x v="1"/>
    <s v="LLD"/>
    <x v="1"/>
    <x v="0"/>
    <x v="11"/>
    <n v="11"/>
    <d v="2024-07-29T00:00:00"/>
    <n v="34"/>
    <d v="2024-09-12T00:00:00"/>
    <n v="44"/>
    <x v="0"/>
    <s v="Provided raise"/>
  </r>
  <r>
    <x v="12"/>
    <s v="490 753 1966"/>
    <s v="JP"/>
    <n v="5"/>
    <x v="2"/>
    <s v="Knee OA"/>
    <x v="2"/>
    <x v="0"/>
    <x v="12"/>
    <n v="12"/>
    <d v="2024-08-02T00:00:00"/>
    <n v="36"/>
    <d v="2024-09-20T00:00:00"/>
    <n v="47"/>
    <x v="0"/>
    <s v="Duplicate NHS"/>
  </r>
  <r>
    <x v="13"/>
    <s v="512 009 4411"/>
    <s v="EF"/>
    <n v="7"/>
    <x v="3"/>
    <s v="Footwear"/>
    <x v="0"/>
    <x v="2"/>
    <x v="13"/>
    <n v="11"/>
    <d v="2024-08-05T00:00:00"/>
    <n v="38"/>
    <d v="2024-09-25T00:00:00"/>
    <n v="48"/>
    <x v="0"/>
    <s v="Missing"/>
  </r>
  <r>
    <x v="14"/>
    <s v="520 118 7744"/>
    <s v="GH"/>
    <n v="6"/>
    <x v="0"/>
    <s v="AFO"/>
    <x v="0"/>
    <x v="0"/>
    <x v="14"/>
    <n v="11"/>
    <d v="2024-08-15T00:00:00"/>
    <n v="33"/>
    <d v="2024-09-30T00:00:00"/>
    <n v="43"/>
    <x v="0"/>
    <s v="Provided AFO"/>
  </r>
  <r>
    <x v="15"/>
    <s v="533 882 1100"/>
    <s v="IJ"/>
    <n v="8"/>
    <x v="1"/>
    <s v="LLD"/>
    <x v="1"/>
    <x v="0"/>
    <x v="15"/>
    <n v="12"/>
    <d v="2024-08-20T00:00:00"/>
    <n v="34"/>
    <d v="2024-10-05T00:00:00"/>
    <n v="45"/>
    <x v="0"/>
    <s v="Provided raise"/>
  </r>
  <r>
    <x v="16"/>
    <s v="540 998 2211"/>
    <s v="KL"/>
    <n v="5"/>
    <x v="2"/>
    <s v="Knee instability"/>
    <x v="0"/>
    <x v="1"/>
    <x v="16"/>
    <n v="15"/>
    <d v="2024-09-01T00:00:00"/>
    <n v="35"/>
    <d v="2024-10-18T00:00:00"/>
    <n v="50"/>
    <x v="0"/>
    <s v="Provided brace"/>
  </r>
  <r>
    <x v="17"/>
    <s v="550 112 3344"/>
    <s v="MN"/>
    <n v="6"/>
    <x v="0"/>
    <s v="Foot pain"/>
    <x v="3"/>
    <x v="0"/>
    <x v="17"/>
    <n v="12"/>
    <d v="2024-08-30T00:00:00"/>
    <n v="36"/>
    <d v="2024-10-20T00:00:00"/>
    <n v="47"/>
    <x v="0"/>
    <s v="Missing IA date"/>
  </r>
  <r>
    <x v="18"/>
    <s v="560 223 4455"/>
    <s v="OP"/>
    <n v="8"/>
    <x v="1"/>
    <s v="LLD"/>
    <x v="1"/>
    <x v="2"/>
    <x v="18"/>
    <n v="13"/>
    <d v="2024-09-05T00:00:00"/>
    <n v="37"/>
    <d v="2024-10-25T00:00:00"/>
    <n v="49"/>
    <x v="0"/>
    <s v="Provided raise"/>
  </r>
  <r>
    <x v="19"/>
    <s v="570 334 5566"/>
    <s v="QR"/>
    <n v="2"/>
    <x v="4"/>
    <s v="Shoulder support"/>
    <x v="0"/>
    <x v="4"/>
    <x v="19"/>
    <n v="12"/>
    <d v="2024-09-10T00:00:00"/>
    <n v="39"/>
    <d v="2024-11-01T00:00:00"/>
    <n v="50"/>
    <x v="0"/>
    <s v="Provided col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EAAB3-BF76-4C7F-A102-998B94958497}" name="PivotTable11"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6:B18" firstHeaderRow="1" firstDataRow="1" firstDataCol="1"/>
  <pivotFields count="18">
    <pivotField showAll="0"/>
    <pivotField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axis="axisRow" dataField="1" showAll="0" countASubtotal="1">
      <items count="3">
        <item x="0"/>
        <item m="1" x="1"/>
        <item t="countA"/>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2">
    <i>
      <x/>
    </i>
    <i t="grand">
      <x/>
    </i>
  </rowItems>
  <colItems count="1">
    <i/>
  </colItems>
  <dataFields count="1">
    <dataField name="Count of Outcome" fld="14"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F9EC9F-480E-4CBF-ABF0-EC04F9212338}" name="PivotTable9"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 firstHeaderRow="0" firstDataRow="0" firstDataCol="0"/>
  <pivotFields count="18">
    <pivotField showAll="0"/>
    <pivotField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A14F67-057E-486B-B981-0FC8D2B14F50}" name="PivotTable6"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9:G40" firstHeaderRow="0" firstDataRow="1" firstDataCol="1"/>
  <pivotFields count="18">
    <pivotField axis="axisRow" showAll="0" sortType="descending">
      <items count="21">
        <item x="19"/>
        <item x="18"/>
        <item x="17"/>
        <item x="16"/>
        <item x="15"/>
        <item x="14"/>
        <item x="13"/>
        <item x="12"/>
        <item x="11"/>
        <item x="10"/>
        <item x="9"/>
        <item x="8"/>
        <item x="7"/>
        <item x="6"/>
        <item x="5"/>
        <item x="4"/>
        <item x="3"/>
        <item x="2"/>
        <item x="1"/>
        <item x="0"/>
        <item t="default"/>
      </items>
    </pivotField>
    <pivotField showAll="0" countASubtotal="1"/>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dataField="1" numFmtId="1" showAll="0"/>
    <pivotField numFmtId="14" showAll="0"/>
    <pivotField dataField="1" numFmtId="1" showAll="0"/>
    <pivotField numFmtId="14" showAll="0"/>
    <pivotField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erage of Interval GP/Orthotics WD" fld="9" subtotal="average" baseField="1" baseItem="0" numFmtId="1"/>
    <dataField name="Average of Interval Orthotics to Initial assessment WD" fld="11" subtotal="average" baseField="1" baseItem="0" numFmtId="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24395-498D-4C51-97B6-C6AF75179B5E}" name="PivotTable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dataField="1"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NHS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06265-9926-4742-9816-BB74D740C7AF}" name="PivotTable5" cacheId="7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E12:F17" firstHeaderRow="1" firstDataRow="1" firstDataCol="1"/>
  <pivotFields count="18">
    <pivotField showAll="0"/>
    <pivotField showAll="0"/>
    <pivotField showAll="0"/>
    <pivotField numFmtId="1" showAll="0"/>
    <pivotField showAll="0">
      <items count="7">
        <item x="3"/>
        <item x="4"/>
        <item x="0"/>
        <item x="2"/>
        <item x="5"/>
        <item x="1"/>
        <item t="default"/>
      </items>
    </pivotField>
    <pivotField showAll="0"/>
    <pivotField axis="axisRow" dataField="1"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of Reason for referral" fld="6" subtotal="count" baseField="0" baseItem="0"/>
  </dataFields>
  <chartFormats count="1">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94C4DB-CC03-4B85-958A-CFF264F05075}"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0" firstHeaderRow="1" firstDataRow="1" firstDataCol="1"/>
  <pivotFields count="18">
    <pivotField showAll="0"/>
    <pivotField showAll="0"/>
    <pivotField showAll="0"/>
    <pivotField numFmtId="1" showAll="0"/>
    <pivotField axis="axisRow" dataField="1"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Count of Class" fld="4" subtotal="count"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CBBF8F-F15F-4662-9A25-95B5EF02F45A}"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8">
    <pivotField showAll="0"/>
    <pivotField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dataField="1" numFmtId="1" showAll="0"/>
    <pivotField numFmtId="14" showAll="0"/>
    <pivotField numFmtId="1" showAll="0"/>
    <pivotField numFmtId="14" showAll="0"/>
    <pivotField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Interval GP/Orthotics WD" fld="9"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320853-9067-4D2B-8A0A-38ADD0730EEF}"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8">
    <pivotField showAll="0"/>
    <pivotField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dataField="1" numFmtI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Pathway WD"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99B22F-0F71-4E4D-8B73-5180DAD10161}" name="PivotTable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0:I16" firstHeaderRow="1" firstDataRow="1" firstDataCol="1"/>
  <pivotFields count="18">
    <pivotField dataField="1" showAll="0"/>
    <pivotField showAll="0"/>
    <pivotField showAll="0"/>
    <pivotField numFmtId="1" showAll="0"/>
    <pivotField showAll="0">
      <items count="7">
        <item x="3"/>
        <item x="4"/>
        <item x="0"/>
        <item x="2"/>
        <item x="5"/>
        <item x="1"/>
        <item t="default"/>
      </items>
    </pivotField>
    <pivotField showAll="0"/>
    <pivotField showAll="0">
      <items count="5">
        <item x="1"/>
        <item x="2"/>
        <item x="3"/>
        <item x="0"/>
        <item t="default"/>
      </items>
    </pivotField>
    <pivotField axis="axisRow" showAll="0">
      <items count="6">
        <item x="3"/>
        <item x="0"/>
        <item x="4"/>
        <item x="1"/>
        <item x="2"/>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numFmtId="1" showAll="0"/>
    <pivotField numFmtId="14" showAll="0"/>
    <pivotField numFmtId="1" showAll="0"/>
    <pivotField numFmtId="14" showAll="0"/>
    <pivotField numFmtI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Count of Referral number" fld="0" subtotal="count" baseField="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referral" xr10:uid="{76201843-A800-4F7F-BE3E-DCE96B83B74A}" sourceName="Reason for referral">
  <pivotTables>
    <pivotTable tabId="4" name="PivotTable5"/>
    <pivotTable tabId="4" name="PivotTable1"/>
    <pivotTable tabId="4" name="PivotTable11"/>
    <pivotTable tabId="4" name="PivotTable2"/>
    <pivotTable tabId="4" name="PivotTable3"/>
    <pivotTable tabId="4" name="PivotTable4"/>
    <pivotTable tabId="4" name="PivotTable6"/>
    <pivotTable tabId="4" name="PivotTable8"/>
    <pivotTable tabId="4" name="PivotTable9"/>
  </pivotTables>
  <data>
    <tabular pivotCacheId="1002699164">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ing_Therapist" xr10:uid="{AED67010-2E36-4DDD-84EF-2DDDD9BA578B}" sourceName="Referring Therapist">
  <pivotTables>
    <pivotTable tabId="4" name="PivotTable8"/>
    <pivotTable tabId="4" name="PivotTable1"/>
    <pivotTable tabId="4" name="PivotTable11"/>
    <pivotTable tabId="4" name="PivotTable2"/>
    <pivotTable tabId="4" name="PivotTable3"/>
    <pivotTable tabId="4" name="PivotTable4"/>
    <pivotTable tabId="4" name="PivotTable5"/>
    <pivotTable tabId="4" name="PivotTable6"/>
    <pivotTable tabId="4" name="PivotTable9"/>
  </pivotTables>
  <data>
    <tabular pivotCacheId="1002699164">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3E52AB4C-9292-4376-B58F-E566EBD3CFB4}" sourceName="Class">
  <pivotTables>
    <pivotTable tabId="4" name="PivotTable4"/>
    <pivotTable tabId="4" name="PivotTable1"/>
    <pivotTable tabId="4" name="PivotTable11"/>
    <pivotTable tabId="4" name="PivotTable2"/>
    <pivotTable tabId="4" name="PivotTable3"/>
    <pivotTable tabId="4" name="PivotTable5"/>
    <pivotTable tabId="4" name="PivotTable6"/>
    <pivotTable tabId="4" name="PivotTable8"/>
    <pivotTable tabId="4" name="PivotTable9"/>
  </pivotTables>
  <data>
    <tabular pivotCacheId="1002699164">
      <items count="6">
        <i x="3" s="1"/>
        <i x="4" s="1"/>
        <i x="0"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 for referral" xr10:uid="{86ED8BCC-D590-4465-9E35-2D86A6B082B0}" cache="Slicer_Reason_for_referral" caption="Reason for referral" style="SlicerStyleDark2" rowHeight="247650"/>
  <slicer name="Referring Therapist" xr10:uid="{781BE196-12E8-429D-9376-F7FC0DF32A6D}" cache="Slicer_Referring_Therapist" caption="Therapist" style="SlicerStyleOther1" rowHeight="247650"/>
  <slicer name="Class" xr10:uid="{222F32D4-704D-4A11-86EE-5B489D7A7CD8}" cache="Slicer_Class" caption="Orthotic Typ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EC2140-45E7-4879-8080-8DF5347E72B3}" name="Table1" displayName="Table1" ref="A1:P21" totalsRowShown="0" headerRowDxfId="9">
  <autoFilter ref="A1:P21" xr:uid="{ACEC2140-45E7-4879-8080-8DF5347E72B3}">
    <filterColumn colId="6">
      <filters>
        <filter val="Leg length Descrepancy"/>
        <filter val="Osteoarthritis"/>
        <filter val="Pain"/>
      </filters>
    </filterColumn>
  </autoFilter>
  <tableColumns count="16">
    <tableColumn id="15" xr3:uid="{93A63D49-9915-494A-9ACA-2437B7B29025}" name="Referral number"/>
    <tableColumn id="1" xr3:uid="{9ED26081-6F5B-496B-A4C5-DA2A7CFB75FC}" name="NHS Number"/>
    <tableColumn id="2" xr3:uid="{C51C66B5-DFA4-4ABA-B510-D27D6215B22D}" name="Patient Initials"/>
    <tableColumn id="3" xr3:uid="{F631FE64-D0CF-4E33-B5E0-5941F9B224C2}" name="Class Code" dataDxfId="8"/>
    <tableColumn id="4" xr3:uid="{86D72934-06E0-4B1B-A464-D380816538E7}" name="Class"/>
    <tableColumn id="5" xr3:uid="{A245134B-8F7F-4224-A051-3AFA5848A2FE}" name="Problem"/>
    <tableColumn id="6" xr3:uid="{295B6EDF-91D2-4774-935B-1D87B4FFA7D0}" name="Reason for referral"/>
    <tableColumn id="7" xr3:uid="{A4F5FDDC-CA29-4389-8809-0E8A7856945F}" name="Referring Therapist"/>
    <tableColumn id="8" xr3:uid="{7C441BE6-723B-4442-BAE1-144136628085}" name="Request  sent to GP Date" dataDxfId="7"/>
    <tableColumn id="9" xr3:uid="{178F09E3-EA75-4BBB-9E30-2E4EBFBD9A76}" name="Interval GP/Orthotics WD" dataDxfId="6"/>
    <tableColumn id="10" xr3:uid="{EBAF565E-42E0-4BFE-B5F4-44DBA51A5674}" name="GP  referral to Orthotics Date" dataDxfId="5"/>
    <tableColumn id="11" xr3:uid="{52D42F6B-D39B-471B-A877-CD4B66EF0387}" name="Interval Orthotics to Initial assessment WD" dataDxfId="4"/>
    <tableColumn id="12" xr3:uid="{3F0D021E-4A01-443E-B16A-41DCEA577643}" name="Initial assessment date Date" dataDxfId="3"/>
    <tableColumn id="13" xr3:uid="{1A9A4149-CB3A-498F-97C2-A0C14BEEAA04}" name="Total Pathway WD" dataDxfId="2"/>
    <tableColumn id="16" xr3:uid="{95435737-4E14-4E10-8A66-6C7369FCCEEA}" name="Outcome" dataDxfId="1"/>
    <tableColumn id="14" xr3:uid="{BFA08745-A025-4BC6-8438-1FA079CD7C1F}" name="Not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440F-533B-4673-AC86-D621F4B26071}">
  <dimension ref="A1:P23"/>
  <sheetViews>
    <sheetView workbookViewId="0">
      <selection activeCell="H14" sqref="H14"/>
    </sheetView>
  </sheetViews>
  <sheetFormatPr defaultRowHeight="14.4" x14ac:dyDescent="0.3"/>
  <cols>
    <col min="1" max="2" width="13.77734375" customWidth="1"/>
    <col min="4" max="4" width="17.44140625" bestFit="1" customWidth="1"/>
    <col min="5" max="5" width="12.109375" style="7" customWidth="1"/>
    <col min="6" max="6" width="14" bestFit="1" customWidth="1"/>
    <col min="7" max="7" width="18.33203125" customWidth="1"/>
    <col min="8" max="8" width="22.6640625" customWidth="1"/>
    <col min="9" max="9" width="18.44140625" customWidth="1"/>
    <col min="10" max="10" width="22.88671875" customWidth="1"/>
    <col min="11" max="11" width="23.6640625" customWidth="1"/>
    <col min="12" max="12" width="26.44140625" customWidth="1"/>
    <col min="13" max="13" width="38" customWidth="1"/>
    <col min="14" max="15" width="26.33203125" customWidth="1"/>
    <col min="16" max="17" width="17.5546875" customWidth="1"/>
    <col min="18" max="18" width="20.44140625" bestFit="1" customWidth="1"/>
    <col min="19" max="19" width="29" customWidth="1"/>
  </cols>
  <sheetData>
    <row r="1" spans="1:16" s="22" customFormat="1" ht="36" customHeight="1" x14ac:dyDescent="0.3">
      <c r="A1" s="22" t="s">
        <v>110</v>
      </c>
      <c r="B1" s="22" t="s">
        <v>0</v>
      </c>
      <c r="C1" s="22" t="s">
        <v>1</v>
      </c>
      <c r="D1" s="23" t="s">
        <v>3</v>
      </c>
      <c r="E1" s="22" t="s">
        <v>2</v>
      </c>
      <c r="F1" s="22" t="s">
        <v>118</v>
      </c>
      <c r="G1" s="22" t="s">
        <v>117</v>
      </c>
      <c r="H1" s="22" t="s">
        <v>4</v>
      </c>
      <c r="I1" s="22" t="s">
        <v>96</v>
      </c>
      <c r="J1" s="22" t="s">
        <v>92</v>
      </c>
      <c r="K1" s="22" t="s">
        <v>95</v>
      </c>
      <c r="L1" s="22" t="s">
        <v>93</v>
      </c>
      <c r="M1" s="22" t="s">
        <v>97</v>
      </c>
      <c r="N1" s="22" t="s">
        <v>94</v>
      </c>
      <c r="O1" s="22" t="s">
        <v>115</v>
      </c>
      <c r="P1" s="22" t="s">
        <v>114</v>
      </c>
    </row>
    <row r="2" spans="1:16" ht="22.2" hidden="1" customHeight="1" x14ac:dyDescent="0.3">
      <c r="A2">
        <v>1</v>
      </c>
      <c r="B2" t="s">
        <v>66</v>
      </c>
      <c r="C2" t="s">
        <v>5</v>
      </c>
      <c r="D2" s="7">
        <v>6</v>
      </c>
      <c r="E2" t="s">
        <v>65</v>
      </c>
      <c r="F2" t="s">
        <v>6</v>
      </c>
      <c r="G2" t="s">
        <v>100</v>
      </c>
      <c r="H2" t="s">
        <v>7</v>
      </c>
      <c r="I2" s="2">
        <v>45446</v>
      </c>
      <c r="J2" s="21">
        <v>8</v>
      </c>
      <c r="K2" s="1">
        <v>45455</v>
      </c>
      <c r="L2" s="7">
        <v>33</v>
      </c>
      <c r="M2" s="1">
        <v>45501</v>
      </c>
      <c r="N2" s="7">
        <v>40</v>
      </c>
      <c r="O2" s="7" t="s">
        <v>112</v>
      </c>
      <c r="P2" t="s">
        <v>8</v>
      </c>
    </row>
    <row r="3" spans="1:16" x14ac:dyDescent="0.3">
      <c r="A3">
        <v>2</v>
      </c>
      <c r="B3" t="s">
        <v>67</v>
      </c>
      <c r="C3" t="s">
        <v>9</v>
      </c>
      <c r="D3" s="7">
        <v>8</v>
      </c>
      <c r="E3" t="s">
        <v>19</v>
      </c>
      <c r="F3" t="s">
        <v>11</v>
      </c>
      <c r="G3" t="s">
        <v>102</v>
      </c>
      <c r="H3" t="s">
        <v>7</v>
      </c>
      <c r="I3" s="1">
        <v>45448</v>
      </c>
      <c r="J3" s="21">
        <v>11</v>
      </c>
      <c r="K3" s="1">
        <v>45462</v>
      </c>
      <c r="L3" s="7">
        <v>30</v>
      </c>
      <c r="M3" s="1">
        <v>45503</v>
      </c>
      <c r="N3" s="7">
        <v>40</v>
      </c>
      <c r="O3" s="7" t="s">
        <v>112</v>
      </c>
      <c r="P3" t="s">
        <v>13</v>
      </c>
    </row>
    <row r="4" spans="1:16" x14ac:dyDescent="0.3">
      <c r="A4">
        <v>3</v>
      </c>
      <c r="B4" t="s">
        <v>68</v>
      </c>
      <c r="C4" t="s">
        <v>14</v>
      </c>
      <c r="D4" s="7">
        <v>5</v>
      </c>
      <c r="E4" t="s">
        <v>42</v>
      </c>
      <c r="F4" t="s">
        <v>15</v>
      </c>
      <c r="G4" t="s">
        <v>99</v>
      </c>
      <c r="H4" t="s">
        <v>86</v>
      </c>
      <c r="I4" s="1">
        <v>45454</v>
      </c>
      <c r="J4" s="21">
        <v>11</v>
      </c>
      <c r="K4" s="1">
        <v>45468</v>
      </c>
      <c r="L4" s="7">
        <v>30</v>
      </c>
      <c r="M4" s="1">
        <v>45509</v>
      </c>
      <c r="N4" s="7">
        <v>40</v>
      </c>
      <c r="O4" s="7" t="s">
        <v>112</v>
      </c>
      <c r="P4" t="s">
        <v>17</v>
      </c>
    </row>
    <row r="5" spans="1:16" x14ac:dyDescent="0.3">
      <c r="A5">
        <v>4</v>
      </c>
      <c r="B5" t="s">
        <v>69</v>
      </c>
      <c r="C5" t="s">
        <v>18</v>
      </c>
      <c r="D5" s="7">
        <v>8</v>
      </c>
      <c r="E5" t="s">
        <v>19</v>
      </c>
      <c r="F5" t="s">
        <v>11</v>
      </c>
      <c r="G5" t="s">
        <v>102</v>
      </c>
      <c r="H5" t="s">
        <v>90</v>
      </c>
      <c r="I5" s="1">
        <v>45457</v>
      </c>
      <c r="J5" s="21">
        <v>1</v>
      </c>
      <c r="K5" s="1">
        <v>45457</v>
      </c>
      <c r="L5" s="7">
        <v>26</v>
      </c>
      <c r="M5" s="1">
        <v>45493</v>
      </c>
      <c r="N5" s="7">
        <v>26</v>
      </c>
      <c r="O5" s="7" t="s">
        <v>112</v>
      </c>
      <c r="P5" t="s">
        <v>20</v>
      </c>
    </row>
    <row r="6" spans="1:16" x14ac:dyDescent="0.3">
      <c r="A6">
        <v>5</v>
      </c>
      <c r="B6" t="s">
        <v>70</v>
      </c>
      <c r="C6" t="s">
        <v>21</v>
      </c>
      <c r="D6" s="7">
        <v>5</v>
      </c>
      <c r="E6" t="s">
        <v>42</v>
      </c>
      <c r="F6" t="s">
        <v>22</v>
      </c>
      <c r="G6" t="s">
        <v>99</v>
      </c>
      <c r="H6" t="s">
        <v>7</v>
      </c>
      <c r="I6" s="1">
        <v>45461</v>
      </c>
      <c r="J6" s="21">
        <v>10</v>
      </c>
      <c r="K6" s="1">
        <v>45474</v>
      </c>
      <c r="L6" s="7">
        <v>30</v>
      </c>
      <c r="M6" s="1">
        <v>45514</v>
      </c>
      <c r="N6" s="7">
        <v>39</v>
      </c>
      <c r="O6" s="7" t="s">
        <v>112</v>
      </c>
      <c r="P6" t="s">
        <v>17</v>
      </c>
    </row>
    <row r="7" spans="1:16" hidden="1" x14ac:dyDescent="0.3">
      <c r="A7">
        <v>6</v>
      </c>
      <c r="B7" t="s">
        <v>71</v>
      </c>
      <c r="C7" t="s">
        <v>23</v>
      </c>
      <c r="D7" s="7">
        <v>7</v>
      </c>
      <c r="E7" t="s">
        <v>24</v>
      </c>
      <c r="F7" t="s">
        <v>24</v>
      </c>
      <c r="G7" t="s">
        <v>100</v>
      </c>
      <c r="H7" t="s">
        <v>88</v>
      </c>
      <c r="I7" s="1">
        <v>45463</v>
      </c>
      <c r="J7" s="21">
        <v>10</v>
      </c>
      <c r="K7" s="1">
        <v>45476</v>
      </c>
      <c r="L7" s="7">
        <v>32</v>
      </c>
      <c r="M7" s="1">
        <v>45519</v>
      </c>
      <c r="N7" s="7">
        <v>41</v>
      </c>
      <c r="O7" s="7" t="s">
        <v>112</v>
      </c>
      <c r="P7" t="s">
        <v>25</v>
      </c>
    </row>
    <row r="8" spans="1:16" hidden="1" x14ac:dyDescent="0.3">
      <c r="A8">
        <v>7</v>
      </c>
      <c r="B8" t="s">
        <v>72</v>
      </c>
      <c r="C8" t="s">
        <v>26</v>
      </c>
      <c r="D8" s="7">
        <v>6</v>
      </c>
      <c r="E8" t="s">
        <v>65</v>
      </c>
      <c r="F8" t="s">
        <v>27</v>
      </c>
      <c r="G8" t="s">
        <v>100</v>
      </c>
      <c r="H8" t="s">
        <v>7</v>
      </c>
      <c r="I8" s="1">
        <v>45465</v>
      </c>
      <c r="J8" s="21">
        <v>13</v>
      </c>
      <c r="K8" s="1">
        <v>45483</v>
      </c>
      <c r="L8" s="7">
        <v>33</v>
      </c>
      <c r="M8" s="1">
        <v>45529</v>
      </c>
      <c r="N8" s="7">
        <v>45</v>
      </c>
      <c r="O8" s="7" t="s">
        <v>112</v>
      </c>
      <c r="P8" t="s">
        <v>28</v>
      </c>
    </row>
    <row r="9" spans="1:16" hidden="1" x14ac:dyDescent="0.3">
      <c r="A9">
        <v>8</v>
      </c>
      <c r="B9" t="s">
        <v>66</v>
      </c>
      <c r="C9" t="s">
        <v>5</v>
      </c>
      <c r="D9" s="7">
        <v>2</v>
      </c>
      <c r="E9" t="s">
        <v>29</v>
      </c>
      <c r="F9" t="s">
        <v>30</v>
      </c>
      <c r="G9" t="s">
        <v>100</v>
      </c>
      <c r="H9" t="s">
        <v>7</v>
      </c>
      <c r="I9" s="1">
        <v>45474</v>
      </c>
      <c r="J9" s="21">
        <v>7</v>
      </c>
      <c r="K9" s="1">
        <v>45482</v>
      </c>
      <c r="L9" s="7">
        <v>31</v>
      </c>
      <c r="M9" s="1">
        <v>45524</v>
      </c>
      <c r="N9" s="7">
        <v>37</v>
      </c>
      <c r="O9" s="7" t="s">
        <v>112</v>
      </c>
      <c r="P9" t="s">
        <v>31</v>
      </c>
    </row>
    <row r="10" spans="1:16" x14ac:dyDescent="0.3">
      <c r="A10">
        <v>9</v>
      </c>
      <c r="B10" t="s">
        <v>73</v>
      </c>
      <c r="C10" t="s">
        <v>32</v>
      </c>
      <c r="D10" s="7">
        <v>8</v>
      </c>
      <c r="E10" t="s">
        <v>19</v>
      </c>
      <c r="F10" t="s">
        <v>11</v>
      </c>
      <c r="G10" t="s">
        <v>102</v>
      </c>
      <c r="H10" t="s">
        <v>90</v>
      </c>
      <c r="I10" s="1">
        <v>45476</v>
      </c>
      <c r="J10" s="21">
        <v>11</v>
      </c>
      <c r="K10" s="1">
        <v>45490</v>
      </c>
      <c r="L10" s="7">
        <v>32</v>
      </c>
      <c r="M10" s="1">
        <v>45533</v>
      </c>
      <c r="N10" s="7">
        <v>42</v>
      </c>
      <c r="O10" s="7" t="s">
        <v>112</v>
      </c>
      <c r="P10" t="s">
        <v>34</v>
      </c>
    </row>
    <row r="11" spans="1:16" hidden="1" x14ac:dyDescent="0.3">
      <c r="A11">
        <v>10</v>
      </c>
      <c r="B11" t="s">
        <v>74</v>
      </c>
      <c r="C11" t="s">
        <v>35</v>
      </c>
      <c r="D11" s="7">
        <v>6</v>
      </c>
      <c r="E11" t="s">
        <v>65</v>
      </c>
      <c r="F11" t="s">
        <v>36</v>
      </c>
      <c r="G11" t="s">
        <v>100</v>
      </c>
      <c r="H11" t="s">
        <v>7</v>
      </c>
      <c r="I11" s="1">
        <v>45480</v>
      </c>
      <c r="J11" s="21">
        <v>9</v>
      </c>
      <c r="K11" s="1">
        <v>45491</v>
      </c>
      <c r="L11" s="7">
        <v>32</v>
      </c>
      <c r="M11" s="1">
        <v>45536</v>
      </c>
      <c r="N11" s="7">
        <v>40</v>
      </c>
      <c r="O11" s="7" t="s">
        <v>112</v>
      </c>
      <c r="P11" t="s">
        <v>8</v>
      </c>
    </row>
    <row r="12" spans="1:16" x14ac:dyDescent="0.3">
      <c r="A12">
        <v>11</v>
      </c>
      <c r="B12" t="s">
        <v>75</v>
      </c>
      <c r="C12" t="s">
        <v>37</v>
      </c>
      <c r="D12" s="7">
        <v>3</v>
      </c>
      <c r="E12" t="s">
        <v>61</v>
      </c>
      <c r="F12" t="s">
        <v>38</v>
      </c>
      <c r="G12" t="s">
        <v>101</v>
      </c>
      <c r="H12" t="s">
        <v>86</v>
      </c>
      <c r="I12" s="1">
        <v>45483</v>
      </c>
      <c r="J12" s="21">
        <v>12</v>
      </c>
      <c r="K12" s="1">
        <v>45498</v>
      </c>
      <c r="L12" s="7">
        <v>29</v>
      </c>
      <c r="M12" s="1">
        <v>45538</v>
      </c>
      <c r="N12" s="7">
        <v>40</v>
      </c>
      <c r="O12" s="7" t="s">
        <v>112</v>
      </c>
      <c r="P12" t="s">
        <v>40</v>
      </c>
    </row>
    <row r="13" spans="1:16" x14ac:dyDescent="0.3">
      <c r="A13">
        <v>12</v>
      </c>
      <c r="B13" t="s">
        <v>76</v>
      </c>
      <c r="C13" t="s">
        <v>41</v>
      </c>
      <c r="D13" s="7">
        <v>8</v>
      </c>
      <c r="E13" t="s">
        <v>19</v>
      </c>
      <c r="F13" t="s">
        <v>11</v>
      </c>
      <c r="G13" t="s">
        <v>102</v>
      </c>
      <c r="H13" t="s">
        <v>7</v>
      </c>
      <c r="I13" s="1">
        <v>45488</v>
      </c>
      <c r="J13" s="21">
        <v>11</v>
      </c>
      <c r="K13" s="1">
        <v>45502</v>
      </c>
      <c r="L13" s="7">
        <v>34</v>
      </c>
      <c r="M13" s="1">
        <v>45547</v>
      </c>
      <c r="N13" s="7">
        <v>44</v>
      </c>
      <c r="O13" s="7" t="s">
        <v>112</v>
      </c>
      <c r="P13" t="s">
        <v>34</v>
      </c>
    </row>
    <row r="14" spans="1:16" x14ac:dyDescent="0.3">
      <c r="A14">
        <v>13</v>
      </c>
      <c r="B14" t="s">
        <v>67</v>
      </c>
      <c r="C14" t="s">
        <v>9</v>
      </c>
      <c r="D14" s="7">
        <v>5</v>
      </c>
      <c r="E14" t="s">
        <v>42</v>
      </c>
      <c r="F14" t="s">
        <v>43</v>
      </c>
      <c r="G14" t="s">
        <v>99</v>
      </c>
      <c r="H14" t="s">
        <v>7</v>
      </c>
      <c r="I14" s="1">
        <v>45491</v>
      </c>
      <c r="J14" s="21">
        <v>12</v>
      </c>
      <c r="K14" s="1">
        <v>45506</v>
      </c>
      <c r="L14" s="7">
        <v>36</v>
      </c>
      <c r="M14" s="1">
        <v>45555</v>
      </c>
      <c r="N14" s="7">
        <v>47</v>
      </c>
      <c r="O14" s="7" t="s">
        <v>112</v>
      </c>
      <c r="P14" t="s">
        <v>44</v>
      </c>
    </row>
    <row r="15" spans="1:16" hidden="1" x14ac:dyDescent="0.3">
      <c r="A15">
        <v>14</v>
      </c>
      <c r="B15" t="s">
        <v>77</v>
      </c>
      <c r="C15" t="s">
        <v>45</v>
      </c>
      <c r="D15" s="7">
        <v>7</v>
      </c>
      <c r="E15" t="s">
        <v>24</v>
      </c>
      <c r="F15" t="s">
        <v>24</v>
      </c>
      <c r="G15" t="s">
        <v>100</v>
      </c>
      <c r="H15" t="s">
        <v>90</v>
      </c>
      <c r="I15" s="1">
        <v>45495</v>
      </c>
      <c r="J15" s="21">
        <v>11</v>
      </c>
      <c r="K15" s="1">
        <v>45509</v>
      </c>
      <c r="L15" s="7">
        <v>38</v>
      </c>
      <c r="M15" s="1">
        <v>45560</v>
      </c>
      <c r="N15" s="7">
        <v>48</v>
      </c>
      <c r="O15" s="7" t="s">
        <v>112</v>
      </c>
      <c r="P15" t="s">
        <v>64</v>
      </c>
    </row>
    <row r="16" spans="1:16" hidden="1" x14ac:dyDescent="0.3">
      <c r="A16">
        <v>15</v>
      </c>
      <c r="B16" t="s">
        <v>78</v>
      </c>
      <c r="C16" t="s">
        <v>35</v>
      </c>
      <c r="D16" s="7">
        <v>6</v>
      </c>
      <c r="E16" t="s">
        <v>65</v>
      </c>
      <c r="F16" t="s">
        <v>46</v>
      </c>
      <c r="G16" t="s">
        <v>100</v>
      </c>
      <c r="H16" t="s">
        <v>7</v>
      </c>
      <c r="I16" s="1">
        <v>45505</v>
      </c>
      <c r="J16" s="21">
        <v>11</v>
      </c>
      <c r="K16" s="1">
        <v>45519</v>
      </c>
      <c r="L16" s="7">
        <v>33</v>
      </c>
      <c r="M16" s="1">
        <v>45565</v>
      </c>
      <c r="N16" s="7">
        <v>43</v>
      </c>
      <c r="O16" s="7" t="s">
        <v>112</v>
      </c>
      <c r="P16" t="s">
        <v>8</v>
      </c>
    </row>
    <row r="17" spans="1:16" x14ac:dyDescent="0.3">
      <c r="A17">
        <v>16</v>
      </c>
      <c r="B17" t="s">
        <v>79</v>
      </c>
      <c r="C17" t="s">
        <v>47</v>
      </c>
      <c r="D17" s="7">
        <v>8</v>
      </c>
      <c r="E17" t="s">
        <v>19</v>
      </c>
      <c r="F17" t="s">
        <v>11</v>
      </c>
      <c r="G17" t="s">
        <v>102</v>
      </c>
      <c r="H17" t="s">
        <v>7</v>
      </c>
      <c r="I17" s="1">
        <v>45509</v>
      </c>
      <c r="J17" s="21">
        <v>12</v>
      </c>
      <c r="K17" s="1">
        <v>45524</v>
      </c>
      <c r="L17" s="7">
        <v>34</v>
      </c>
      <c r="M17" s="1">
        <v>45570</v>
      </c>
      <c r="N17" s="7">
        <v>45</v>
      </c>
      <c r="O17" s="7" t="s">
        <v>112</v>
      </c>
      <c r="P17" t="s">
        <v>34</v>
      </c>
    </row>
    <row r="18" spans="1:16" hidden="1" x14ac:dyDescent="0.3">
      <c r="A18">
        <v>17</v>
      </c>
      <c r="B18" t="s">
        <v>80</v>
      </c>
      <c r="C18" t="s">
        <v>48</v>
      </c>
      <c r="D18" s="7">
        <v>5</v>
      </c>
      <c r="E18" t="s">
        <v>42</v>
      </c>
      <c r="F18" t="s">
        <v>49</v>
      </c>
      <c r="G18" t="s">
        <v>100</v>
      </c>
      <c r="H18" t="s">
        <v>86</v>
      </c>
      <c r="I18" s="1">
        <v>45514</v>
      </c>
      <c r="J18" s="21">
        <v>15</v>
      </c>
      <c r="K18" s="1">
        <v>45536</v>
      </c>
      <c r="L18" s="7">
        <v>35</v>
      </c>
      <c r="M18" s="1">
        <v>45583</v>
      </c>
      <c r="N18" s="7">
        <v>50</v>
      </c>
      <c r="O18" s="7" t="s">
        <v>112</v>
      </c>
      <c r="P18" t="s">
        <v>17</v>
      </c>
    </row>
    <row r="19" spans="1:16" x14ac:dyDescent="0.3">
      <c r="A19">
        <v>18</v>
      </c>
      <c r="B19" t="s">
        <v>81</v>
      </c>
      <c r="C19" t="s">
        <v>51</v>
      </c>
      <c r="D19" s="7">
        <v>6</v>
      </c>
      <c r="E19" t="s">
        <v>65</v>
      </c>
      <c r="F19" t="s">
        <v>52</v>
      </c>
      <c r="G19" t="s">
        <v>101</v>
      </c>
      <c r="H19" t="s">
        <v>7</v>
      </c>
      <c r="I19" s="1">
        <v>45519</v>
      </c>
      <c r="J19" s="21">
        <v>12</v>
      </c>
      <c r="K19" s="1">
        <v>45534</v>
      </c>
      <c r="L19" s="7">
        <v>36</v>
      </c>
      <c r="M19" s="1">
        <v>45585</v>
      </c>
      <c r="N19" s="7">
        <v>47</v>
      </c>
      <c r="O19" s="7" t="s">
        <v>112</v>
      </c>
      <c r="P19" t="s">
        <v>53</v>
      </c>
    </row>
    <row r="20" spans="1:16" x14ac:dyDescent="0.3">
      <c r="A20">
        <v>19</v>
      </c>
      <c r="B20" t="s">
        <v>82</v>
      </c>
      <c r="C20" t="s">
        <v>54</v>
      </c>
      <c r="D20" s="7">
        <v>8</v>
      </c>
      <c r="E20" t="s">
        <v>19</v>
      </c>
      <c r="F20" t="s">
        <v>11</v>
      </c>
      <c r="G20" t="s">
        <v>102</v>
      </c>
      <c r="H20" t="s">
        <v>90</v>
      </c>
      <c r="I20" s="1">
        <v>45524</v>
      </c>
      <c r="J20" s="21">
        <v>13</v>
      </c>
      <c r="K20" s="1">
        <v>45540</v>
      </c>
      <c r="L20" s="7">
        <v>37</v>
      </c>
      <c r="M20" s="1">
        <v>45590</v>
      </c>
      <c r="N20" s="7">
        <v>49</v>
      </c>
      <c r="O20" s="7" t="s">
        <v>112</v>
      </c>
      <c r="P20" t="s">
        <v>34</v>
      </c>
    </row>
    <row r="21" spans="1:16" hidden="1" x14ac:dyDescent="0.3">
      <c r="A21">
        <v>20</v>
      </c>
      <c r="B21" t="s">
        <v>83</v>
      </c>
      <c r="C21" t="s">
        <v>55</v>
      </c>
      <c r="D21" s="7">
        <v>2</v>
      </c>
      <c r="E21" t="s">
        <v>29</v>
      </c>
      <c r="F21" t="s">
        <v>56</v>
      </c>
      <c r="G21" t="s">
        <v>100</v>
      </c>
      <c r="H21" t="s">
        <v>63</v>
      </c>
      <c r="I21" s="1">
        <v>45529</v>
      </c>
      <c r="J21" s="21">
        <v>12</v>
      </c>
      <c r="K21" s="1">
        <v>45545</v>
      </c>
      <c r="L21" s="7">
        <v>39</v>
      </c>
      <c r="M21" s="1">
        <v>45597</v>
      </c>
      <c r="N21" s="7">
        <v>50</v>
      </c>
      <c r="O21" s="7" t="s">
        <v>112</v>
      </c>
      <c r="P21" t="s">
        <v>31</v>
      </c>
    </row>
    <row r="23" spans="1:16" x14ac:dyDescent="0.3">
      <c r="D23" t="s">
        <v>91</v>
      </c>
    </row>
  </sheetData>
  <conditionalFormatting sqref="A1:B1048576 D22:XFD1048576 C1:XFD21">
    <cfRule type="containsBlanks" priority="3">
      <formula>LEN(TRIM(A1))=0</formula>
    </cfRule>
  </conditionalFormatting>
  <conditionalFormatting sqref="P15:Q15">
    <cfRule type="containsBlanks" dxfId="0" priority="1">
      <formula>LEN(TRIM(P15))=0</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ED27320-E151-4F02-8998-C979C6F338C7}">
          <x14:formula1>
            <xm:f>'Refererence Table'!$E$3:$E$4</xm:f>
          </x14:formula1>
          <xm:sqref>O2:O21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1C02A-EC54-4482-86DF-6AD1BBB46E02}">
  <dimension ref="A1:F39"/>
  <sheetViews>
    <sheetView workbookViewId="0">
      <selection activeCell="F3" sqref="F3"/>
    </sheetView>
  </sheetViews>
  <sheetFormatPr defaultRowHeight="14.4" x14ac:dyDescent="0.3"/>
  <cols>
    <col min="1" max="1" width="41.5546875" style="7" customWidth="1"/>
    <col min="2" max="2" width="25.33203125" customWidth="1"/>
  </cols>
  <sheetData>
    <row r="1" spans="1:6" x14ac:dyDescent="0.3">
      <c r="A1" s="3" t="s">
        <v>59</v>
      </c>
      <c r="B1" s="17" t="s">
        <v>58</v>
      </c>
    </row>
    <row r="2" spans="1:6" x14ac:dyDescent="0.3">
      <c r="A2" s="4">
        <v>1</v>
      </c>
      <c r="B2" s="18" t="s">
        <v>60</v>
      </c>
    </row>
    <row r="3" spans="1:6" x14ac:dyDescent="0.3">
      <c r="A3" s="5">
        <v>2</v>
      </c>
      <c r="B3" s="19" t="s">
        <v>29</v>
      </c>
      <c r="E3" s="9" t="s">
        <v>112</v>
      </c>
      <c r="F3" s="30">
        <f>COUNTIF(Table1[Outcome], "Accepted")/COUNTA(Table1[Outcome])</f>
        <v>1</v>
      </c>
    </row>
    <row r="4" spans="1:6" x14ac:dyDescent="0.3">
      <c r="A4" s="4">
        <v>3</v>
      </c>
      <c r="B4" s="18" t="s">
        <v>61</v>
      </c>
      <c r="E4" s="9" t="s">
        <v>113</v>
      </c>
      <c r="F4" s="30">
        <f>COUNTIF(Table1[Outcome], "Rejected")/COUNTA(Table1[Outcome])</f>
        <v>0</v>
      </c>
    </row>
    <row r="5" spans="1:6" x14ac:dyDescent="0.3">
      <c r="A5" s="5">
        <v>4</v>
      </c>
      <c r="B5" s="19" t="s">
        <v>62</v>
      </c>
    </row>
    <row r="6" spans="1:6" x14ac:dyDescent="0.3">
      <c r="A6" s="4">
        <v>5</v>
      </c>
      <c r="B6" s="18" t="s">
        <v>42</v>
      </c>
    </row>
    <row r="7" spans="1:6" x14ac:dyDescent="0.3">
      <c r="A7" s="5">
        <v>6</v>
      </c>
      <c r="B7" s="19" t="s">
        <v>65</v>
      </c>
    </row>
    <row r="8" spans="1:6" x14ac:dyDescent="0.3">
      <c r="A8" s="4">
        <v>7</v>
      </c>
      <c r="B8" s="18" t="s">
        <v>24</v>
      </c>
    </row>
    <row r="9" spans="1:6" x14ac:dyDescent="0.3">
      <c r="A9" s="6">
        <v>8</v>
      </c>
      <c r="B9" s="20" t="s">
        <v>10</v>
      </c>
    </row>
    <row r="12" spans="1:6" x14ac:dyDescent="0.3">
      <c r="A12" s="8" t="s">
        <v>84</v>
      </c>
      <c r="B12" s="9" t="s">
        <v>85</v>
      </c>
    </row>
    <row r="13" spans="1:6" x14ac:dyDescent="0.3">
      <c r="A13" s="11" t="s">
        <v>39</v>
      </c>
      <c r="B13" s="10" t="s">
        <v>86</v>
      </c>
    </row>
    <row r="14" spans="1:6" x14ac:dyDescent="0.3">
      <c r="A14" s="12" t="s">
        <v>16</v>
      </c>
      <c r="B14" s="15" t="s">
        <v>86</v>
      </c>
    </row>
    <row r="15" spans="1:6" x14ac:dyDescent="0.3">
      <c r="A15" s="12" t="s">
        <v>50</v>
      </c>
      <c r="B15" s="15" t="s">
        <v>86</v>
      </c>
    </row>
    <row r="16" spans="1:6" x14ac:dyDescent="0.3">
      <c r="A16" s="13" t="s">
        <v>33</v>
      </c>
      <c r="B16" s="15" t="s">
        <v>90</v>
      </c>
    </row>
    <row r="17" spans="1:2" x14ac:dyDescent="0.3">
      <c r="A17" s="13" t="s">
        <v>89</v>
      </c>
      <c r="B17" s="15" t="s">
        <v>90</v>
      </c>
    </row>
    <row r="18" spans="1:2" x14ac:dyDescent="0.3">
      <c r="A18" s="12" t="s">
        <v>7</v>
      </c>
      <c r="B18" s="15" t="s">
        <v>7</v>
      </c>
    </row>
    <row r="19" spans="1:2" x14ac:dyDescent="0.3">
      <c r="A19" s="13" t="s">
        <v>12</v>
      </c>
      <c r="B19" s="15" t="s">
        <v>7</v>
      </c>
    </row>
    <row r="20" spans="1:2" x14ac:dyDescent="0.3">
      <c r="A20" s="13" t="s">
        <v>87</v>
      </c>
      <c r="B20" s="15" t="s">
        <v>63</v>
      </c>
    </row>
    <row r="21" spans="1:2" x14ac:dyDescent="0.3">
      <c r="A21" s="14" t="s">
        <v>57</v>
      </c>
      <c r="B21" s="16" t="s">
        <v>88</v>
      </c>
    </row>
    <row r="24" spans="1:2" x14ac:dyDescent="0.3">
      <c r="A24" s="8" t="s">
        <v>84</v>
      </c>
      <c r="B24" s="9" t="s">
        <v>98</v>
      </c>
    </row>
    <row r="25" spans="1:2" x14ac:dyDescent="0.3">
      <c r="A25" s="11" t="str" cm="1">
        <f t="array" ref="A25:A30">_xlfn.UNIQUE('nhs number-patient-initials-202'!G:G,FALSE,FALSE)</f>
        <v>Reason for referral</v>
      </c>
      <c r="B25" s="10"/>
    </row>
    <row r="26" spans="1:2" x14ac:dyDescent="0.3">
      <c r="A26" s="13" t="str">
        <v>Weakness/Instability</v>
      </c>
      <c r="B26" s="15" t="s">
        <v>100</v>
      </c>
    </row>
    <row r="27" spans="1:2" x14ac:dyDescent="0.3">
      <c r="A27" s="13" t="str">
        <v>Leg length Descrepancy</v>
      </c>
      <c r="B27" s="15" t="s">
        <v>102</v>
      </c>
    </row>
    <row r="28" spans="1:2" x14ac:dyDescent="0.3">
      <c r="A28" s="13" t="str">
        <v>Osteoarthritis</v>
      </c>
      <c r="B28" s="15" t="s">
        <v>99</v>
      </c>
    </row>
    <row r="29" spans="1:2" x14ac:dyDescent="0.3">
      <c r="A29" s="13" t="str">
        <v>Pain</v>
      </c>
      <c r="B29" s="15" t="s">
        <v>99</v>
      </c>
    </row>
    <row r="30" spans="1:2" x14ac:dyDescent="0.3">
      <c r="A30" s="13">
        <v>0</v>
      </c>
      <c r="B30" s="15" t="s">
        <v>100</v>
      </c>
    </row>
    <row r="31" spans="1:2" x14ac:dyDescent="0.3">
      <c r="A31" s="13"/>
      <c r="B31" s="15" t="s">
        <v>100</v>
      </c>
    </row>
    <row r="32" spans="1:2" x14ac:dyDescent="0.3">
      <c r="A32" s="13"/>
      <c r="B32" s="15" t="s">
        <v>100</v>
      </c>
    </row>
    <row r="33" spans="1:2" x14ac:dyDescent="0.3">
      <c r="A33" s="13"/>
      <c r="B33" s="15" t="s">
        <v>100</v>
      </c>
    </row>
    <row r="34" spans="1:2" x14ac:dyDescent="0.3">
      <c r="A34" s="13"/>
      <c r="B34" s="15" t="s">
        <v>101</v>
      </c>
    </row>
    <row r="35" spans="1:2" x14ac:dyDescent="0.3">
      <c r="A35" s="13"/>
      <c r="B35" s="15" t="s">
        <v>99</v>
      </c>
    </row>
    <row r="36" spans="1:2" x14ac:dyDescent="0.3">
      <c r="A36" s="13"/>
      <c r="B36" s="15" t="s">
        <v>100</v>
      </c>
    </row>
    <row r="37" spans="1:2" x14ac:dyDescent="0.3">
      <c r="B37" s="15" t="s">
        <v>100</v>
      </c>
    </row>
    <row r="38" spans="1:2" x14ac:dyDescent="0.3">
      <c r="B38" s="15" t="s">
        <v>101</v>
      </c>
    </row>
    <row r="39" spans="1:2" x14ac:dyDescent="0.3">
      <c r="A39" s="24"/>
      <c r="B39" s="16" t="s">
        <v>100</v>
      </c>
    </row>
  </sheetData>
  <conditionalFormatting sqref="A14:A15">
    <cfRule type="containsBlanks" priority="3">
      <formula>LEN(TRIM(A14))=0</formula>
    </cfRule>
  </conditionalFormatting>
  <conditionalFormatting sqref="A18">
    <cfRule type="containsBlanks" priority="1">
      <formula>LEN(TRIM(A18))=0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84D7-4E66-4027-8211-98E6901D9F6F}">
  <dimension ref="A3:J40"/>
  <sheetViews>
    <sheetView workbookViewId="0">
      <selection activeCell="F3" sqref="F3"/>
    </sheetView>
  </sheetViews>
  <sheetFormatPr defaultRowHeight="14.4" x14ac:dyDescent="0.3"/>
  <cols>
    <col min="1" max="1" width="33.44140625" bestFit="1" customWidth="1"/>
    <col min="2" max="4" width="12.77734375" customWidth="1"/>
    <col min="5" max="5" width="13" bestFit="1" customWidth="1"/>
    <col min="6" max="6" width="33.44140625" bestFit="1" customWidth="1"/>
    <col min="7" max="7" width="49.44140625" bestFit="1" customWidth="1"/>
    <col min="8" max="8" width="16" bestFit="1" customWidth="1"/>
    <col min="9" max="9" width="23.77734375" bestFit="1" customWidth="1"/>
    <col min="10" max="10" width="21.77734375" customWidth="1"/>
    <col min="11" max="11" width="14.88671875" bestFit="1" customWidth="1"/>
    <col min="12" max="12" width="19.21875" bestFit="1" customWidth="1"/>
  </cols>
  <sheetData>
    <row r="3" spans="1:9" x14ac:dyDescent="0.3">
      <c r="A3" t="s">
        <v>103</v>
      </c>
      <c r="E3" s="25" t="s">
        <v>106</v>
      </c>
      <c r="F3" t="s">
        <v>108</v>
      </c>
    </row>
    <row r="4" spans="1:9" x14ac:dyDescent="0.3">
      <c r="A4" s="29">
        <v>20</v>
      </c>
      <c r="E4" s="26" t="s">
        <v>24</v>
      </c>
      <c r="F4" s="29">
        <v>2</v>
      </c>
    </row>
    <row r="5" spans="1:9" x14ac:dyDescent="0.3">
      <c r="E5" s="26" t="s">
        <v>29</v>
      </c>
      <c r="F5" s="29">
        <v>2</v>
      </c>
    </row>
    <row r="6" spans="1:9" x14ac:dyDescent="0.3">
      <c r="A6" t="s">
        <v>104</v>
      </c>
      <c r="E6" s="26" t="s">
        <v>65</v>
      </c>
      <c r="F6" s="29">
        <v>5</v>
      </c>
    </row>
    <row r="7" spans="1:9" x14ac:dyDescent="0.3">
      <c r="A7" s="7">
        <v>42.65</v>
      </c>
      <c r="E7" s="26" t="s">
        <v>42</v>
      </c>
      <c r="F7" s="29">
        <v>4</v>
      </c>
    </row>
    <row r="8" spans="1:9" x14ac:dyDescent="0.3">
      <c r="E8" s="26" t="s">
        <v>61</v>
      </c>
      <c r="F8" s="29">
        <v>1</v>
      </c>
    </row>
    <row r="9" spans="1:9" x14ac:dyDescent="0.3">
      <c r="A9" t="s">
        <v>105</v>
      </c>
      <c r="E9" s="26" t="s">
        <v>19</v>
      </c>
      <c r="F9" s="29">
        <v>6</v>
      </c>
    </row>
    <row r="10" spans="1:9" x14ac:dyDescent="0.3">
      <c r="A10" s="7">
        <v>10.6</v>
      </c>
      <c r="E10" s="26" t="s">
        <v>107</v>
      </c>
      <c r="F10" s="29">
        <v>20</v>
      </c>
      <c r="H10" s="25" t="s">
        <v>106</v>
      </c>
      <c r="I10" t="s">
        <v>111</v>
      </c>
    </row>
    <row r="11" spans="1:9" x14ac:dyDescent="0.3">
      <c r="H11" s="26" t="s">
        <v>88</v>
      </c>
      <c r="I11" s="29">
        <v>1</v>
      </c>
    </row>
    <row r="12" spans="1:9" x14ac:dyDescent="0.3">
      <c r="A12" s="28" t="e" vm="1">
        <v>#VALUE!</v>
      </c>
      <c r="E12" s="25" t="s">
        <v>106</v>
      </c>
      <c r="F12" t="s">
        <v>119</v>
      </c>
      <c r="H12" s="26" t="s">
        <v>7</v>
      </c>
      <c r="I12" s="29">
        <v>11</v>
      </c>
    </row>
    <row r="13" spans="1:9" x14ac:dyDescent="0.3">
      <c r="E13" s="26" t="s">
        <v>102</v>
      </c>
      <c r="F13" s="29">
        <v>6</v>
      </c>
      <c r="H13" s="26" t="s">
        <v>63</v>
      </c>
      <c r="I13" s="29">
        <v>1</v>
      </c>
    </row>
    <row r="14" spans="1:9" x14ac:dyDescent="0.3">
      <c r="E14" s="26" t="s">
        <v>99</v>
      </c>
      <c r="F14" s="29">
        <v>3</v>
      </c>
      <c r="H14" s="26" t="s">
        <v>86</v>
      </c>
      <c r="I14" s="29">
        <v>3</v>
      </c>
    </row>
    <row r="15" spans="1:9" x14ac:dyDescent="0.3">
      <c r="E15" s="26" t="s">
        <v>101</v>
      </c>
      <c r="F15" s="29">
        <v>2</v>
      </c>
      <c r="H15" s="26" t="s">
        <v>90</v>
      </c>
      <c r="I15" s="29">
        <v>4</v>
      </c>
    </row>
    <row r="16" spans="1:9" x14ac:dyDescent="0.3">
      <c r="A16" s="25" t="s">
        <v>106</v>
      </c>
      <c r="B16" t="s">
        <v>116</v>
      </c>
      <c r="E16" s="26" t="s">
        <v>100</v>
      </c>
      <c r="F16" s="29">
        <v>9</v>
      </c>
      <c r="H16" s="26" t="s">
        <v>107</v>
      </c>
      <c r="I16" s="29">
        <v>20</v>
      </c>
    </row>
    <row r="17" spans="1:10" x14ac:dyDescent="0.3">
      <c r="A17" s="26" t="s">
        <v>112</v>
      </c>
      <c r="B17" s="29">
        <v>20</v>
      </c>
      <c r="E17" s="26" t="s">
        <v>107</v>
      </c>
      <c r="F17" s="29">
        <v>20</v>
      </c>
    </row>
    <row r="18" spans="1:10" x14ac:dyDescent="0.3">
      <c r="A18" s="26" t="s">
        <v>107</v>
      </c>
      <c r="B18" s="29">
        <v>20</v>
      </c>
    </row>
    <row r="19" spans="1:10" x14ac:dyDescent="0.3">
      <c r="E19" s="25" t="s">
        <v>106</v>
      </c>
      <c r="F19" t="s">
        <v>105</v>
      </c>
      <c r="G19" t="s">
        <v>109</v>
      </c>
    </row>
    <row r="20" spans="1:10" x14ac:dyDescent="0.3">
      <c r="E20" s="26">
        <v>20</v>
      </c>
      <c r="F20" s="7">
        <v>12</v>
      </c>
      <c r="G20" s="7">
        <v>39</v>
      </c>
    </row>
    <row r="21" spans="1:10" x14ac:dyDescent="0.3">
      <c r="E21" s="26">
        <v>19</v>
      </c>
      <c r="F21" s="7">
        <v>13</v>
      </c>
      <c r="G21" s="7">
        <v>37</v>
      </c>
    </row>
    <row r="22" spans="1:10" x14ac:dyDescent="0.3">
      <c r="E22" s="26">
        <v>18</v>
      </c>
      <c r="F22" s="7">
        <v>12</v>
      </c>
      <c r="G22" s="7">
        <v>36</v>
      </c>
    </row>
    <row r="23" spans="1:10" x14ac:dyDescent="0.3">
      <c r="E23" s="26">
        <v>17</v>
      </c>
      <c r="F23" s="7">
        <v>15</v>
      </c>
      <c r="G23" s="7">
        <v>35</v>
      </c>
    </row>
    <row r="24" spans="1:10" x14ac:dyDescent="0.3">
      <c r="E24" s="26">
        <v>16</v>
      </c>
      <c r="F24" s="7">
        <v>12</v>
      </c>
      <c r="G24" s="7">
        <v>34</v>
      </c>
    </row>
    <row r="25" spans="1:10" x14ac:dyDescent="0.3">
      <c r="E25" s="26">
        <v>15</v>
      </c>
      <c r="F25" s="7">
        <v>11</v>
      </c>
      <c r="G25" s="7">
        <v>33</v>
      </c>
    </row>
    <row r="26" spans="1:10" x14ac:dyDescent="0.3">
      <c r="E26" s="26">
        <v>14</v>
      </c>
      <c r="F26" s="7">
        <v>11</v>
      </c>
      <c r="G26" s="7">
        <v>38</v>
      </c>
    </row>
    <row r="27" spans="1:10" x14ac:dyDescent="0.3">
      <c r="E27" s="26">
        <v>13</v>
      </c>
      <c r="F27" s="7">
        <v>12</v>
      </c>
      <c r="G27" s="7">
        <v>36</v>
      </c>
    </row>
    <row r="28" spans="1:10" x14ac:dyDescent="0.3">
      <c r="E28" s="26">
        <v>12</v>
      </c>
      <c r="F28" s="7">
        <v>11</v>
      </c>
      <c r="G28" s="7">
        <v>34</v>
      </c>
      <c r="H28" s="7"/>
      <c r="I28" s="7"/>
      <c r="J28" s="7"/>
    </row>
    <row r="29" spans="1:10" x14ac:dyDescent="0.3">
      <c r="E29" s="26">
        <v>11</v>
      </c>
      <c r="F29" s="7">
        <v>12</v>
      </c>
      <c r="G29" s="7">
        <v>29</v>
      </c>
      <c r="H29" s="7"/>
      <c r="I29" s="7"/>
      <c r="J29" s="7"/>
    </row>
    <row r="30" spans="1:10" x14ac:dyDescent="0.3">
      <c r="E30" s="26">
        <v>10</v>
      </c>
      <c r="F30" s="7">
        <v>9</v>
      </c>
      <c r="G30" s="7">
        <v>32</v>
      </c>
      <c r="H30" s="7"/>
      <c r="I30" s="7"/>
      <c r="J30" s="7"/>
    </row>
    <row r="31" spans="1:10" x14ac:dyDescent="0.3">
      <c r="E31" s="26">
        <v>9</v>
      </c>
      <c r="F31" s="7">
        <v>11</v>
      </c>
      <c r="G31" s="7">
        <v>32</v>
      </c>
      <c r="H31" s="7"/>
      <c r="I31" s="7"/>
      <c r="J31" s="7"/>
    </row>
    <row r="32" spans="1:10" x14ac:dyDescent="0.3">
      <c r="E32" s="26">
        <v>8</v>
      </c>
      <c r="F32" s="7">
        <v>7</v>
      </c>
      <c r="G32" s="7">
        <v>31</v>
      </c>
      <c r="H32" s="7"/>
      <c r="I32" s="7"/>
      <c r="J32" s="7"/>
    </row>
    <row r="33" spans="5:10" x14ac:dyDescent="0.3">
      <c r="E33" s="26">
        <v>7</v>
      </c>
      <c r="F33" s="7">
        <v>13</v>
      </c>
      <c r="G33" s="7">
        <v>33</v>
      </c>
      <c r="H33" s="7"/>
      <c r="I33" s="7"/>
      <c r="J33" s="7"/>
    </row>
    <row r="34" spans="5:10" x14ac:dyDescent="0.3">
      <c r="E34" s="26">
        <v>6</v>
      </c>
      <c r="F34" s="7">
        <v>10</v>
      </c>
      <c r="G34" s="7">
        <v>32</v>
      </c>
      <c r="H34" s="7"/>
      <c r="I34" s="7"/>
      <c r="J34" s="7"/>
    </row>
    <row r="35" spans="5:10" x14ac:dyDescent="0.3">
      <c r="E35" s="26">
        <v>5</v>
      </c>
      <c r="F35" s="7">
        <v>10</v>
      </c>
      <c r="G35" s="7">
        <v>30</v>
      </c>
      <c r="H35" s="7"/>
      <c r="I35" s="7"/>
      <c r="J35" s="7"/>
    </row>
    <row r="36" spans="5:10" x14ac:dyDescent="0.3">
      <c r="E36" s="26">
        <v>4</v>
      </c>
      <c r="F36" s="7">
        <v>1</v>
      </c>
      <c r="G36" s="7">
        <v>26</v>
      </c>
      <c r="H36" s="7"/>
      <c r="I36" s="7"/>
      <c r="J36" s="7"/>
    </row>
    <row r="37" spans="5:10" x14ac:dyDescent="0.3">
      <c r="E37" s="26">
        <v>3</v>
      </c>
      <c r="F37" s="7">
        <v>11</v>
      </c>
      <c r="G37" s="7">
        <v>30</v>
      </c>
      <c r="H37" s="7"/>
      <c r="I37" s="7"/>
      <c r="J37" s="7"/>
    </row>
    <row r="38" spans="5:10" x14ac:dyDescent="0.3">
      <c r="E38" s="26">
        <v>2</v>
      </c>
      <c r="F38" s="7">
        <v>11</v>
      </c>
      <c r="G38" s="7">
        <v>30</v>
      </c>
      <c r="H38" s="7"/>
      <c r="I38" s="7"/>
      <c r="J38" s="7"/>
    </row>
    <row r="39" spans="5:10" x14ac:dyDescent="0.3">
      <c r="E39" s="26">
        <v>1</v>
      </c>
      <c r="F39" s="7">
        <v>8</v>
      </c>
      <c r="G39" s="7">
        <v>33</v>
      </c>
      <c r="H39" s="7"/>
      <c r="I39" s="7"/>
      <c r="J39" s="7"/>
    </row>
    <row r="40" spans="5:10" x14ac:dyDescent="0.3">
      <c r="E40" s="26" t="s">
        <v>107</v>
      </c>
      <c r="F40" s="7">
        <v>10.6</v>
      </c>
      <c r="G40" s="7">
        <v>33</v>
      </c>
      <c r="H40" s="7"/>
      <c r="I40" s="7"/>
      <c r="J4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63A2-BDBE-4DE1-80E2-EAB087C4F1AC}">
  <dimension ref="A1"/>
  <sheetViews>
    <sheetView showGridLines="0" tabSelected="1" zoomScaleNormal="100" workbookViewId="0">
      <selection activeCell="L37" sqref="L37"/>
    </sheetView>
  </sheetViews>
  <sheetFormatPr defaultRowHeight="14.4" x14ac:dyDescent="0.3"/>
  <cols>
    <col min="1" max="16384" width="8.88671875" style="2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nhs number-patient-initials-202</vt:lpstr>
      <vt:lpstr>Refererence Table</vt:lpstr>
      <vt:lpstr>Pivot Tables</vt:lpstr>
      <vt:lpstr>Dashboard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Riley</dc:creator>
  <cp:lastModifiedBy>Marc Riley</cp:lastModifiedBy>
  <cp:lastPrinted>2026-06-26T14:51:30Z</cp:lastPrinted>
  <dcterms:created xsi:type="dcterms:W3CDTF">2026-06-19T13:48:34Z</dcterms:created>
  <dcterms:modified xsi:type="dcterms:W3CDTF">2026-06-26T18:24:16Z</dcterms:modified>
</cp:coreProperties>
</file>